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01evl\OneDrive\_etudes\JoseEtudes\ETML FIN2\Pre-TPI\etml_arduino_robot\"/>
    </mc:Choice>
  </mc:AlternateContent>
  <bookViews>
    <workbookView xWindow="0" yWindow="0" windowWidth="21570" windowHeight="8055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B12" i="10"/>
  <c r="C11" i="10"/>
  <c r="C10" i="10"/>
  <c r="C9" i="10"/>
  <c r="C8" i="10"/>
  <c r="C7" i="10"/>
  <c r="C6" i="10"/>
  <c r="C5" i="12"/>
  <c r="C5" i="10"/>
  <c r="C4" i="12"/>
  <c r="C12" i="12"/>
  <c r="C24" i="12"/>
  <c r="C36" i="12"/>
  <c r="C40" i="12"/>
  <c r="C48" i="12"/>
  <c r="C4" i="10"/>
  <c r="C12" i="10"/>
  <c r="B60" i="12" l="1"/>
  <c r="C59" i="12"/>
  <c r="C58" i="12"/>
  <c r="C57" i="12"/>
  <c r="C56" i="12"/>
  <c r="C55" i="12"/>
  <c r="C54" i="12"/>
  <c r="C53" i="12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C29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C55" i="10"/>
  <c r="C54" i="10"/>
  <c r="C53" i="10"/>
  <c r="C16" i="10"/>
  <c r="C36" i="10"/>
  <c r="C52" i="10"/>
  <c r="C60" i="10"/>
  <c r="C17" i="10"/>
  <c r="C48" i="10"/>
  <c r="C24" i="10"/>
  <c r="C52" i="12"/>
  <c r="C60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<sst xmlns="http://schemas.openxmlformats.org/spreadsheetml/2006/main" count="300" uniqueCount="75">
  <si>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</si>
  <si>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</si>
  <si>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</si>
  <si>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</si>
  <si>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</si>
  <si>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</si>
  <si>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</si>
  <si>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</si>
  <si>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</si>
  <si>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</si>
  <si>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</si>
  <si>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</si>
  <si>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</si>
  <si>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</si>
  <si>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</si>
  <si>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</si>
  <si>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</si>
  <si>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</si>
  <si>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</si>
  <si>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</si>
  <si>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</si>
  <si>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</si>
  <si>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</si>
  <si>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</si>
  <si>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</si>
  <si>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</si>
  <si>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</si>
  <si>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</si>
  <si>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</si>
  <si>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</si>
  <si>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</si>
  <si>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</si>
  <si>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</si>
  <si>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</si>
  <si>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</si>
  <si>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</si>
  <si>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</si>
  <si>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</si>
  <si>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</si>
  <si>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</si>
  <si>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</si>
  <si>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</si>
  <si>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</si>
  <si>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</si>
  <si>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</si>
  <si>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</si>
  <si>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</si>
  <si>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Mise en place Serveur Apache</t>
  </si>
  <si>
    <t>jeudi, 17 mars 2022</t>
  </si>
  <si>
    <t>Mise en place plaftormIO</t>
  </si>
  <si>
    <t>Analyse de la librairie aREST</t>
  </si>
  <si>
    <t>Analyse choix client et serveur</t>
  </si>
  <si>
    <t>Design du schema electrique</t>
  </si>
  <si>
    <t>Analyse du matériel (analyse datasheet)</t>
  </si>
  <si>
    <t>Vérification du matériel</t>
  </si>
  <si>
    <t>Analyse PWN</t>
  </si>
  <si>
    <t>Analyse GPIOS arduino</t>
  </si>
  <si>
    <t>Mise en place de l'environnement PlatformIO</t>
  </si>
  <si>
    <t>Mise en place de l'environnement git</t>
  </si>
  <si>
    <t>Mise en place de l'environnement de developpement web</t>
  </si>
  <si>
    <t>Séquence 4</t>
  </si>
  <si>
    <t>lundi, 14 mars 2022</t>
  </si>
  <si>
    <t>mardi, 15 mars 2022</t>
  </si>
  <si>
    <t>mercredi, 16 mars 2022</t>
  </si>
  <si>
    <t>Le goal est de vérifier si tout le matériel est fonctionnel</t>
  </si>
  <si>
    <t>Séquence 5</t>
  </si>
  <si>
    <t>mercredi, 13 avril 2022</t>
  </si>
  <si>
    <t>C'est alright</t>
  </si>
  <si>
    <t>okkkk</t>
  </si>
  <si>
    <t>8h</t>
  </si>
  <si>
    <t>6h20min</t>
  </si>
  <si>
    <t>- 1h40min</t>
  </si>
  <si>
    <t>Test projets autres collegues</t>
  </si>
  <si>
    <t>La j'ai test les truc des autes</t>
  </si>
  <si>
    <t>Ouais j'ai joué au babyfoot, galère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</si>
</sst>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23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7" borderId="5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Serveur Apache</c:v>
              </c:pt>
              <c:pt idx="6">
                <c:v>Analyse choix client et serveur</c:v>
              </c:pt>
              <c:pt idx="7">
                <c:v>Design du schema electrique</c:v>
              </c:pt>
              <c:pt idx="8">
                <c:v>Analyse du matériel (analyse datasheet)</c:v>
              </c:pt>
              <c:pt idx="9">
                <c:v>Vérification du matériel</c:v>
              </c:pt>
              <c:pt idx="10">
                <c:v>Analyse PWN</c:v>
              </c:pt>
              <c:pt idx="11">
                <c:v>Analyse GPIOS arduino</c:v>
              </c:pt>
              <c:pt idx="12">
                <c:v>Mise en place de l'environnement PlatformIO</c:v>
              </c:pt>
              <c:pt idx="13">
                <c:v>Analyse de la librairie aREST</c:v>
              </c:pt>
              <c:pt idx="14">
                <c:v>Mise en place de l'environnement git</c:v>
              </c:pt>
              <c:pt idx="15">
                <c:v>Mise en place de l'environnement de developpement web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</c:v>
              </c:pt>
              <c:pt idx="5">
                <c:v>1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2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2.5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1.9199999570846558</c:v>
              </c:pt>
              <c:pt idx="10">
                <c:v>1.9199999570846558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380123" y="197069"/>
          <a:ext cx="1279072" cy="3976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268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5" t="s">
        <v>38</v>
      </c>
      <c r="C35" s="185"/>
      <c r="D35" s="185"/>
      <c r="E35" s="107" t="s">
        <v>69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6" t="s">
        <v>39</v>
      </c>
      <c r="C37" s="186"/>
      <c r="D37" s="186"/>
      <c r="E37" s="109" t="s">
        <v>70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78" t="s">
        <v>71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NB99"/>
  <sheetViews>
    <sheetView showGridLines="0" tabSelected="1" zoomScale="85" zoomScaleNormal="85" zoomScaleSheetLayoutView="43" workbookViewId="0">
      <selection activeCell="C39" sqref="C39:C40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65" width="1.140625" style="3" customWidth="1"/>
    <col min="366" max="366" width="2.7109375" style="3" customWidth="1"/>
    <col min="367" max="16384" width="11.42578125" style="3"/>
  </cols>
  <sheetData>
    <row r="1" spans="1:366" ht="35.1" customHeight="1" x14ac:dyDescent="0.25">
      <c r="B1" s="95"/>
      <c r="C1" s="217" t="s">
        <v>35</v>
      </c>
      <c r="D1" s="217"/>
      <c r="E1" s="21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93">
        <v>1</v>
      </c>
    </row>
    <row r="2" spans="1:3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90"/>
    </row>
    <row r="3" spans="1:36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90"/>
    </row>
    <row r="4" spans="1:36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90"/>
    </row>
    <row r="5" spans="1:36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90"/>
    </row>
    <row r="6" spans="1:36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90"/>
    </row>
    <row r="7" spans="1:366" ht="20.100000000000001" customHeight="1" thickBot="1" x14ac:dyDescent="0.3">
      <c r="B7" s="96"/>
      <c r="C7" s="218"/>
      <c r="D7" s="218"/>
      <c r="E7" s="21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90"/>
    </row>
    <row r="8" spans="1:36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90"/>
    </row>
    <row r="9" spans="1:366" ht="30" customHeight="1" x14ac:dyDescent="0.25">
      <c r="B9" s="96"/>
      <c r="C9" s="12" t="s">
        <v>22</v>
      </c>
      <c r="D9" s="141"/>
      <c r="E9" s="13" t="s">
        <v>26</v>
      </c>
      <c r="F9" s="14"/>
      <c r="G9" s="209" t="str">
        <f>E96</f>
        <v>10h</v>
      </c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19"/>
      <c r="W9" s="216" t="s">
        <v>27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09" t="str">
        <f>E98</f>
        <v>9h20min</v>
      </c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09"/>
      <c r="AU9" s="209"/>
      <c r="AV9" s="209"/>
      <c r="AW9" s="20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90"/>
    </row>
    <row r="10" spans="1:3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201"/>
      <c r="CH10" s="201"/>
      <c r="CI10" s="201"/>
      <c r="CJ10" s="201"/>
      <c r="CK10" s="201"/>
      <c r="CL10" s="201"/>
      <c r="CM10" s="201"/>
      <c r="CN10" s="201"/>
      <c r="CO10" s="201"/>
      <c r="CP10" s="201"/>
      <c r="CQ10" s="92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  <c r="EB10" s="200"/>
      <c r="EC10" s="200"/>
      <c r="ED10" s="200"/>
      <c r="EE10" s="200"/>
      <c r="EF10" s="200"/>
      <c r="EG10" s="200"/>
      <c r="EH10" s="200"/>
      <c r="EI10" s="200"/>
      <c r="EJ10" s="200"/>
      <c r="EK10" s="200"/>
      <c r="EL10" s="200"/>
      <c r="EM10" s="200"/>
      <c r="EN10" s="200"/>
      <c r="EO10" s="200"/>
      <c r="EP10" s="200"/>
      <c r="EQ10" s="200"/>
      <c r="ER10" s="200"/>
      <c r="ES10" s="200"/>
      <c r="ET10" s="200"/>
      <c r="EU10" s="200"/>
      <c r="EV10" s="200"/>
      <c r="EW10" s="200"/>
      <c r="EX10" s="200"/>
      <c r="EY10" s="200"/>
      <c r="EZ10" s="200"/>
      <c r="FA10" s="200"/>
      <c r="FB10" s="200"/>
      <c r="FC10" s="200"/>
      <c r="FD10" s="200"/>
      <c r="FE10" s="200"/>
      <c r="FF10" s="200"/>
      <c r="FG10" s="200"/>
      <c r="FH10" s="200"/>
      <c r="FI10" s="200"/>
      <c r="FJ10" s="200"/>
      <c r="FK10" s="200"/>
      <c r="FL10" s="200"/>
      <c r="FM10" s="200"/>
      <c r="FN10" s="200"/>
      <c r="FO10" s="200"/>
      <c r="FP10" s="200"/>
      <c r="FQ10" s="200"/>
      <c r="FR10" s="200"/>
      <c r="FS10" s="200"/>
      <c r="FT10" s="200"/>
      <c r="FU10" s="200"/>
      <c r="FV10" s="200"/>
      <c r="FW10" s="200"/>
      <c r="FX10" s="200"/>
      <c r="FY10" s="200"/>
      <c r="FZ10" s="200"/>
      <c r="GA10" s="200"/>
      <c r="GB10" s="200"/>
      <c r="GC10" s="200"/>
      <c r="GD10" s="200"/>
      <c r="GE10" s="200"/>
      <c r="GF10" s="200"/>
      <c r="GG10" s="200"/>
      <c r="GH10" s="200"/>
      <c r="GI10" s="200"/>
      <c r="GJ10" s="200"/>
      <c r="GK10" s="200"/>
      <c r="GL10" s="200"/>
      <c r="GM10" s="200"/>
      <c r="GN10" s="200"/>
      <c r="GO10" s="200"/>
      <c r="GP10" s="200"/>
      <c r="GQ10" s="200"/>
      <c r="GR10" s="200"/>
      <c r="GS10" s="200"/>
      <c r="GT10" s="200"/>
      <c r="GU10" s="200"/>
      <c r="GV10" s="200"/>
      <c r="GW10" s="200"/>
      <c r="GX10" s="200"/>
      <c r="GY10" s="200"/>
      <c r="GZ10" s="200"/>
      <c r="HA10" s="200"/>
      <c r="HB10" s="200"/>
      <c r="HC10" s="200"/>
      <c r="HD10" s="200"/>
      <c r="HE10" s="200"/>
      <c r="HF10" s="200"/>
      <c r="HG10" s="200"/>
      <c r="HH10" s="200"/>
      <c r="HI10" s="200"/>
      <c r="HJ10" s="200"/>
      <c r="HK10" s="200"/>
      <c r="HL10" s="200"/>
      <c r="HM10" s="200"/>
      <c r="HN10" s="200"/>
      <c r="HO10" s="200"/>
      <c r="HP10" s="200"/>
      <c r="HQ10" s="200"/>
      <c r="HR10" s="200"/>
      <c r="HS10" s="200"/>
      <c r="HT10" s="200"/>
      <c r="HU10" s="200"/>
      <c r="HV10" s="200"/>
      <c r="HW10" s="200"/>
      <c r="HX10" s="200"/>
      <c r="HY10" s="200"/>
      <c r="HZ10" s="200"/>
      <c r="IA10" s="200"/>
      <c r="IB10" s="200"/>
      <c r="IC10" s="200"/>
      <c r="ID10" s="200"/>
      <c r="IE10" s="200"/>
      <c r="IF10" s="200"/>
      <c r="IG10" s="200"/>
      <c r="IH10" s="200"/>
      <c r="II10" s="200"/>
      <c r="IJ10" s="200"/>
      <c r="IK10" s="200"/>
      <c r="IL10" s="200"/>
      <c r="IM10" s="200"/>
      <c r="IN10" s="200"/>
      <c r="IO10" s="200"/>
      <c r="IP10" s="200"/>
      <c r="IQ10" s="200"/>
      <c r="IR10" s="200"/>
      <c r="IS10" s="200"/>
      <c r="IT10" s="200"/>
      <c r="IU10" s="200"/>
      <c r="IV10" s="200"/>
      <c r="IW10" s="200"/>
      <c r="IX10" s="200"/>
      <c r="IY10" s="200"/>
      <c r="IZ10" s="200"/>
      <c r="JA10" s="200"/>
      <c r="JB10" s="200"/>
      <c r="JC10" s="200"/>
      <c r="JD10" s="200"/>
      <c r="JE10" s="200"/>
      <c r="JF10" s="200"/>
      <c r="JG10" s="200"/>
      <c r="JH10" s="200"/>
      <c r="JI10" s="200"/>
      <c r="JJ10" s="200"/>
      <c r="JK10" s="200"/>
      <c r="JL10" s="200"/>
      <c r="JM10" s="200"/>
      <c r="JN10" s="200"/>
      <c r="JO10" s="200"/>
      <c r="JP10" s="200"/>
      <c r="JQ10" s="200"/>
      <c r="JR10" s="200"/>
      <c r="JS10" s="200"/>
      <c r="JT10" s="200"/>
      <c r="JU10" s="200"/>
      <c r="JV10" s="200"/>
      <c r="JW10" s="200"/>
      <c r="JX10" s="200"/>
      <c r="JY10" s="200"/>
      <c r="JZ10" s="200"/>
      <c r="KA10" s="200"/>
      <c r="KB10" s="200"/>
      <c r="KC10" s="200"/>
      <c r="KD10" s="200"/>
      <c r="KE10" s="200"/>
      <c r="KF10" s="200"/>
      <c r="KG10" s="200"/>
      <c r="KH10" s="200"/>
      <c r="KI10" s="200"/>
      <c r="KJ10" s="200"/>
      <c r="KK10" s="200"/>
      <c r="KL10" s="200"/>
      <c r="KM10" s="200"/>
      <c r="KN10" s="200"/>
      <c r="KO10" s="200"/>
      <c r="KP10" s="200"/>
      <c r="KQ10" s="200"/>
      <c r="KR10" s="200"/>
      <c r="KS10" s="200"/>
      <c r="KT10" s="200"/>
      <c r="KU10" s="200"/>
      <c r="KV10" s="200"/>
      <c r="KW10" s="200"/>
      <c r="KX10" s="200"/>
      <c r="KY10" s="200"/>
      <c r="KZ10" s="200"/>
      <c r="LA10" s="200"/>
      <c r="LB10" s="200"/>
      <c r="LC10" s="200"/>
      <c r="LD10" s="200"/>
      <c r="LE10" s="200"/>
      <c r="LF10" s="200"/>
      <c r="LG10" s="200"/>
      <c r="LH10" s="200"/>
      <c r="LI10" s="200"/>
      <c r="LJ10" s="200"/>
      <c r="LK10" s="200"/>
      <c r="LL10" s="200"/>
      <c r="LM10" s="200"/>
      <c r="LN10" s="200"/>
      <c r="LO10" s="200"/>
      <c r="LP10" s="200"/>
      <c r="LQ10" s="200"/>
      <c r="LR10" s="200"/>
      <c r="LS10" s="200"/>
      <c r="LT10" s="200"/>
      <c r="LU10" s="200"/>
      <c r="LV10" s="200"/>
      <c r="LW10" s="200"/>
      <c r="LX10" s="200"/>
      <c r="LY10" s="200"/>
      <c r="LZ10" s="200"/>
      <c r="MA10" s="200"/>
      <c r="MB10" s="200"/>
      <c r="MC10" s="200"/>
      <c r="MD10" s="200"/>
      <c r="ME10" s="200"/>
      <c r="MF10" s="200"/>
      <c r="MG10" s="200"/>
      <c r="MH10" s="200"/>
      <c r="MI10" s="200"/>
      <c r="MJ10" s="200"/>
      <c r="MK10" s="200"/>
      <c r="ML10" s="200"/>
      <c r="MM10" s="200"/>
      <c r="MN10" s="200"/>
      <c r="MO10" s="200"/>
      <c r="MP10" s="200"/>
      <c r="MQ10" s="200"/>
      <c r="MR10" s="200"/>
      <c r="MS10" s="200"/>
      <c r="MT10" s="200"/>
      <c r="MU10" s="200"/>
      <c r="MV10" s="200"/>
      <c r="MW10" s="200"/>
      <c r="MX10" s="200"/>
      <c r="MY10" s="200"/>
      <c r="MZ10" s="200"/>
      <c r="NA10" s="200"/>
      <c r="NB10" s="90"/>
    </row>
    <row r="11" spans="1:366" ht="20.100000000000001" customHeight="1" x14ac:dyDescent="0.25">
      <c r="B11" s="96"/>
      <c r="C11" s="214"/>
      <c r="D11" s="214"/>
      <c r="E11" s="214"/>
      <c r="F11" s="202" t="s">
        <v>48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63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204" t="s">
        <v>62</v>
      </c>
      <c r="DW11" s="204"/>
      <c r="DX11" s="204"/>
      <c r="DY11" s="204"/>
      <c r="DZ11" s="204"/>
      <c r="EA11" s="204"/>
      <c r="EB11" s="204"/>
      <c r="EC11" s="204"/>
      <c r="ED11" s="204"/>
      <c r="EE11" s="204"/>
      <c r="EF11" s="204"/>
      <c r="EG11" s="204"/>
      <c r="EH11" s="204"/>
      <c r="EI11" s="204"/>
      <c r="EJ11" s="204"/>
      <c r="EK11" s="204"/>
      <c r="EL11" s="204"/>
      <c r="EM11" s="204"/>
      <c r="EN11" s="204"/>
      <c r="EO11" s="204"/>
      <c r="EP11" s="204"/>
      <c r="EQ11" s="204"/>
      <c r="ER11" s="204"/>
      <c r="ES11" s="204"/>
      <c r="ET11" s="204"/>
      <c r="EU11" s="204"/>
      <c r="EV11" s="204"/>
      <c r="EW11" s="204"/>
      <c r="EX11" s="204"/>
      <c r="EY11" s="204"/>
      <c r="EZ11" s="204"/>
      <c r="FA11" s="204"/>
      <c r="FB11" s="204"/>
      <c r="FC11" s="204"/>
      <c r="FD11" s="204"/>
      <c r="FE11" s="204"/>
      <c r="FF11" s="204"/>
      <c r="FG11" s="204"/>
      <c r="FH11" s="204"/>
      <c r="FI11" s="204"/>
      <c r="FJ11" s="204"/>
      <c r="FK11" s="204"/>
      <c r="FL11" s="204"/>
      <c r="FM11" s="204"/>
      <c r="FN11" s="204"/>
      <c r="FO11" s="204"/>
      <c r="FP11" s="204"/>
      <c r="FQ11" s="204"/>
      <c r="FR11" s="204"/>
      <c r="FS11" s="204"/>
      <c r="FT11" s="204"/>
      <c r="FU11" s="204"/>
      <c r="FV11" s="204"/>
      <c r="FW11" s="204"/>
      <c r="FX11" s="204"/>
      <c r="FY11" s="204"/>
      <c r="FZ11" s="204"/>
      <c r="GA11" s="204"/>
      <c r="GB11" s="204"/>
      <c r="GC11" s="204"/>
      <c r="GD11" s="204" t="s">
        <v>61</v>
      </c>
      <c r="GE11" s="204"/>
      <c r="GF11" s="204"/>
      <c r="GG11" s="204"/>
      <c r="GH11" s="204"/>
      <c r="GI11" s="204"/>
      <c r="GJ11" s="204"/>
      <c r="GK11" s="204"/>
      <c r="GL11" s="204"/>
      <c r="GM11" s="204"/>
      <c r="GN11" s="204"/>
      <c r="GO11" s="204"/>
      <c r="GP11" s="204"/>
      <c r="GQ11" s="204"/>
      <c r="GR11" s="204"/>
      <c r="GS11" s="204"/>
      <c r="GT11" s="204"/>
      <c r="GU11" s="204"/>
      <c r="GV11" s="204"/>
      <c r="GW11" s="204"/>
      <c r="GX11" s="204"/>
      <c r="GY11" s="204"/>
      <c r="GZ11" s="204"/>
      <c r="HA11" s="204"/>
      <c r="HB11" s="204"/>
      <c r="HC11" s="204"/>
      <c r="HD11" s="204"/>
      <c r="HE11" s="204"/>
      <c r="HF11" s="204"/>
      <c r="HG11" s="204"/>
      <c r="HH11" s="204"/>
      <c r="HI11" s="204"/>
      <c r="HJ11" s="204"/>
      <c r="HK11" s="204"/>
      <c r="HL11" s="204"/>
      <c r="HM11" s="204"/>
      <c r="HN11" s="204"/>
      <c r="HO11" s="204"/>
      <c r="HP11" s="204"/>
      <c r="HQ11" s="204"/>
      <c r="HR11" s="204"/>
      <c r="HS11" s="204"/>
      <c r="HT11" s="204"/>
      <c r="HU11" s="204"/>
      <c r="HV11" s="204"/>
      <c r="HW11" s="204"/>
      <c r="HX11" s="204"/>
      <c r="HY11" s="204"/>
      <c r="HZ11" s="204"/>
      <c r="IA11" s="204"/>
      <c r="IB11" s="204"/>
      <c r="IC11" s="204"/>
      <c r="ID11" s="204"/>
      <c r="IE11" s="204"/>
      <c r="IF11" s="204"/>
      <c r="IG11" s="204"/>
      <c r="IH11" s="204"/>
      <c r="II11" s="204"/>
      <c r="IJ11" s="204"/>
      <c r="IK11" s="204"/>
      <c r="IL11" s="204" t="s">
        <v>66</v>
      </c>
      <c r="IM11" s="204"/>
      <c r="IN11" s="204"/>
      <c r="IO11" s="204"/>
      <c r="IP11" s="204"/>
      <c r="IQ11" s="204"/>
      <c r="IR11" s="204"/>
      <c r="IS11" s="204"/>
      <c r="IT11" s="204"/>
      <c r="IU11" s="204"/>
      <c r="IV11" s="204"/>
      <c r="IW11" s="204"/>
      <c r="IX11" s="204"/>
      <c r="IY11" s="204"/>
      <c r="IZ11" s="204"/>
      <c r="JA11" s="204"/>
      <c r="JB11" s="204"/>
      <c r="JC11" s="204"/>
      <c r="JD11" s="204"/>
      <c r="JE11" s="204"/>
      <c r="JF11" s="204"/>
      <c r="JG11" s="204"/>
      <c r="JH11" s="204"/>
      <c r="JI11" s="204"/>
      <c r="JJ11" s="204"/>
      <c r="JK11" s="204"/>
      <c r="JL11" s="204"/>
      <c r="JM11" s="204"/>
      <c r="JN11" s="204"/>
      <c r="JO11" s="204"/>
      <c r="JP11" s="204"/>
      <c r="JQ11" s="204"/>
      <c r="JR11" s="204"/>
      <c r="JS11" s="204"/>
      <c r="JT11" s="204"/>
      <c r="JU11" s="204"/>
      <c r="JV11" s="204"/>
      <c r="JW11" s="204"/>
      <c r="JX11" s="204"/>
      <c r="JY11" s="204"/>
      <c r="JZ11" s="204"/>
      <c r="KA11" s="204"/>
      <c r="KB11" s="204"/>
      <c r="KC11" s="204"/>
      <c r="KD11" s="204"/>
      <c r="KE11" s="204"/>
      <c r="KF11" s="204"/>
      <c r="KG11" s="204"/>
      <c r="KH11" s="204"/>
      <c r="KI11" s="204"/>
      <c r="KJ11" s="204"/>
      <c r="KK11" s="204"/>
      <c r="KL11" s="204"/>
      <c r="KM11" s="204"/>
      <c r="KN11" s="204"/>
      <c r="KO11" s="204"/>
      <c r="KP11" s="204"/>
      <c r="KQ11" s="204"/>
      <c r="KR11" s="204"/>
      <c r="KS11" s="204"/>
      <c r="KT11" s="204"/>
      <c r="KU11" s="204"/>
      <c r="KV11" s="204"/>
      <c r="KW11" s="204"/>
      <c r="KX11" s="204"/>
      <c r="KY11" s="204"/>
      <c r="KZ11" s="204"/>
      <c r="LA11" s="204"/>
      <c r="LB11" s="204"/>
      <c r="LC11" s="204"/>
      <c r="LD11" s="204"/>
      <c r="LE11" s="204"/>
      <c r="LF11" s="204"/>
      <c r="LG11" s="204"/>
      <c r="LH11" s="204"/>
      <c r="LI11" s="204"/>
      <c r="LJ11" s="204"/>
      <c r="LK11" s="204"/>
      <c r="LL11" s="204"/>
      <c r="LM11" s="204"/>
      <c r="LN11" s="204"/>
      <c r="LO11" s="204"/>
      <c r="LP11" s="204"/>
      <c r="LQ11" s="204"/>
      <c r="LR11" s="204"/>
      <c r="LS11" s="204"/>
      <c r="LT11" s="204"/>
      <c r="LU11" s="204"/>
      <c r="LV11" s="204"/>
      <c r="LW11" s="204"/>
      <c r="LX11" s="204"/>
      <c r="LY11" s="204"/>
      <c r="LZ11" s="204"/>
      <c r="MA11" s="204"/>
      <c r="MB11" s="204"/>
      <c r="MC11" s="204"/>
      <c r="MD11" s="204"/>
      <c r="ME11" s="204"/>
      <c r="MF11" s="204"/>
      <c r="MG11" s="204"/>
      <c r="MH11" s="204"/>
      <c r="MI11" s="204"/>
      <c r="MJ11" s="204"/>
      <c r="MK11" s="204"/>
      <c r="ML11" s="204"/>
      <c r="MM11" s="204"/>
      <c r="MN11" s="204"/>
      <c r="MO11" s="204"/>
      <c r="MP11" s="204"/>
      <c r="MQ11" s="204"/>
      <c r="MR11" s="204"/>
      <c r="MS11" s="204"/>
      <c r="MT11" s="204"/>
      <c r="MU11" s="204"/>
      <c r="MV11" s="204"/>
      <c r="MW11" s="204"/>
      <c r="MX11" s="204"/>
      <c r="MY11" s="204"/>
      <c r="MZ11" s="204"/>
      <c r="NA11" s="204"/>
      <c r="NB11" s="90"/>
    </row>
    <row r="12" spans="1:366" ht="15.75" customHeight="1" thickBot="1" x14ac:dyDescent="0.3">
      <c r="B12" s="97"/>
      <c r="C12" s="215"/>
      <c r="D12" s="215"/>
      <c r="E12" s="215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  <c r="CK12" s="203"/>
      <c r="CL12" s="203"/>
      <c r="CM12" s="203"/>
      <c r="CN12" s="203"/>
      <c r="CO12" s="203"/>
      <c r="CP12" s="203"/>
      <c r="CQ12" s="203"/>
      <c r="CR12" s="203"/>
      <c r="CS12" s="203"/>
      <c r="CT12" s="203"/>
      <c r="CU12" s="203"/>
      <c r="CV12" s="203"/>
      <c r="CW12" s="203"/>
      <c r="CX12" s="203"/>
      <c r="CY12" s="203"/>
      <c r="CZ12" s="203"/>
      <c r="DA12" s="203"/>
      <c r="DB12" s="203"/>
      <c r="DC12" s="203"/>
      <c r="DD12" s="203"/>
      <c r="DE12" s="203"/>
      <c r="DF12" s="203"/>
      <c r="DG12" s="203"/>
      <c r="DH12" s="203"/>
      <c r="DI12" s="203"/>
      <c r="DJ12" s="203"/>
      <c r="DK12" s="203"/>
      <c r="DL12" s="203"/>
      <c r="DM12" s="203"/>
      <c r="DN12" s="203"/>
      <c r="DO12" s="203"/>
      <c r="DP12" s="203"/>
      <c r="DQ12" s="203"/>
      <c r="DR12" s="203"/>
      <c r="DS12" s="203"/>
      <c r="DT12" s="203"/>
      <c r="DU12" s="203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  <c r="FQ12" s="205"/>
      <c r="FR12" s="205"/>
      <c r="FS12" s="205"/>
      <c r="FT12" s="205"/>
      <c r="FU12" s="205"/>
      <c r="FV12" s="205"/>
      <c r="FW12" s="205"/>
      <c r="FX12" s="205"/>
      <c r="FY12" s="205"/>
      <c r="FZ12" s="205"/>
      <c r="GA12" s="205"/>
      <c r="GB12" s="205"/>
      <c r="GC12" s="205"/>
      <c r="GD12" s="205"/>
      <c r="GE12" s="205"/>
      <c r="GF12" s="205"/>
      <c r="GG12" s="205"/>
      <c r="GH12" s="205"/>
      <c r="GI12" s="205"/>
      <c r="GJ12" s="205"/>
      <c r="GK12" s="205"/>
      <c r="GL12" s="205"/>
      <c r="GM12" s="205"/>
      <c r="GN12" s="205"/>
      <c r="GO12" s="205"/>
      <c r="GP12" s="205"/>
      <c r="GQ12" s="205"/>
      <c r="GR12" s="205"/>
      <c r="GS12" s="205"/>
      <c r="GT12" s="205"/>
      <c r="GU12" s="205"/>
      <c r="GV12" s="205"/>
      <c r="GW12" s="205"/>
      <c r="GX12" s="205"/>
      <c r="GY12" s="205"/>
      <c r="GZ12" s="205"/>
      <c r="HA12" s="205"/>
      <c r="HB12" s="205"/>
      <c r="HC12" s="205"/>
      <c r="HD12" s="205"/>
      <c r="HE12" s="205"/>
      <c r="HF12" s="205"/>
      <c r="HG12" s="205"/>
      <c r="HH12" s="205"/>
      <c r="HI12" s="205"/>
      <c r="HJ12" s="205"/>
      <c r="HK12" s="205"/>
      <c r="HL12" s="205"/>
      <c r="HM12" s="205"/>
      <c r="HN12" s="205"/>
      <c r="HO12" s="205"/>
      <c r="HP12" s="205"/>
      <c r="HQ12" s="205"/>
      <c r="HR12" s="205"/>
      <c r="HS12" s="205"/>
      <c r="HT12" s="205"/>
      <c r="HU12" s="205"/>
      <c r="HV12" s="205"/>
      <c r="HW12" s="205"/>
      <c r="HX12" s="205"/>
      <c r="HY12" s="205"/>
      <c r="HZ12" s="205"/>
      <c r="IA12" s="205"/>
      <c r="IB12" s="205"/>
      <c r="IC12" s="205"/>
      <c r="ID12" s="205"/>
      <c r="IE12" s="205"/>
      <c r="IF12" s="205"/>
      <c r="IG12" s="205"/>
      <c r="IH12" s="205"/>
      <c r="II12" s="205"/>
      <c r="IJ12" s="205"/>
      <c r="IK12" s="205"/>
      <c r="IL12" s="205"/>
      <c r="IM12" s="205"/>
      <c r="IN12" s="205"/>
      <c r="IO12" s="205"/>
      <c r="IP12" s="205"/>
      <c r="IQ12" s="205"/>
      <c r="IR12" s="205"/>
      <c r="IS12" s="205"/>
      <c r="IT12" s="205"/>
      <c r="IU12" s="205"/>
      <c r="IV12" s="205"/>
      <c r="IW12" s="205"/>
      <c r="IX12" s="205"/>
      <c r="IY12" s="205"/>
      <c r="IZ12" s="205"/>
      <c r="JA12" s="205"/>
      <c r="JB12" s="205"/>
      <c r="JC12" s="205"/>
      <c r="JD12" s="205"/>
      <c r="JE12" s="205"/>
      <c r="JF12" s="205"/>
      <c r="JG12" s="205"/>
      <c r="JH12" s="205"/>
      <c r="JI12" s="205"/>
      <c r="JJ12" s="205"/>
      <c r="JK12" s="205"/>
      <c r="JL12" s="205"/>
      <c r="JM12" s="205"/>
      <c r="JN12" s="205"/>
      <c r="JO12" s="205"/>
      <c r="JP12" s="205"/>
      <c r="JQ12" s="205"/>
      <c r="JR12" s="205"/>
      <c r="JS12" s="205"/>
      <c r="JT12" s="205"/>
      <c r="JU12" s="205"/>
      <c r="JV12" s="205"/>
      <c r="JW12" s="205"/>
      <c r="JX12" s="205"/>
      <c r="JY12" s="205"/>
      <c r="JZ12" s="205"/>
      <c r="KA12" s="205"/>
      <c r="KB12" s="205"/>
      <c r="KC12" s="205"/>
      <c r="KD12" s="205"/>
      <c r="KE12" s="205"/>
      <c r="KF12" s="205"/>
      <c r="KG12" s="205"/>
      <c r="KH12" s="205"/>
      <c r="KI12" s="205"/>
      <c r="KJ12" s="205"/>
      <c r="KK12" s="205"/>
      <c r="KL12" s="205"/>
      <c r="KM12" s="205"/>
      <c r="KN12" s="205"/>
      <c r="KO12" s="205"/>
      <c r="KP12" s="205"/>
      <c r="KQ12" s="205"/>
      <c r="KR12" s="205"/>
      <c r="KS12" s="205"/>
      <c r="KT12" s="205"/>
      <c r="KU12" s="205"/>
      <c r="KV12" s="205"/>
      <c r="KW12" s="205"/>
      <c r="KX12" s="205"/>
      <c r="KY12" s="205"/>
      <c r="KZ12" s="205"/>
      <c r="LA12" s="205"/>
      <c r="LB12" s="205"/>
      <c r="LC12" s="205"/>
      <c r="LD12" s="205"/>
      <c r="LE12" s="205"/>
      <c r="LF12" s="205"/>
      <c r="LG12" s="205"/>
      <c r="LH12" s="205"/>
      <c r="LI12" s="205"/>
      <c r="LJ12" s="205"/>
      <c r="LK12" s="205"/>
      <c r="LL12" s="205"/>
      <c r="LM12" s="205"/>
      <c r="LN12" s="205"/>
      <c r="LO12" s="205"/>
      <c r="LP12" s="205"/>
      <c r="LQ12" s="205"/>
      <c r="LR12" s="205"/>
      <c r="LS12" s="205"/>
      <c r="LT12" s="205"/>
      <c r="LU12" s="205"/>
      <c r="LV12" s="205"/>
      <c r="LW12" s="205"/>
      <c r="LX12" s="205"/>
      <c r="LY12" s="205"/>
      <c r="LZ12" s="205"/>
      <c r="MA12" s="205"/>
      <c r="MB12" s="205"/>
      <c r="MC12" s="205"/>
      <c r="MD12" s="205"/>
      <c r="ME12" s="205"/>
      <c r="MF12" s="205"/>
      <c r="MG12" s="205"/>
      <c r="MH12" s="205"/>
      <c r="MI12" s="205"/>
      <c r="MJ12" s="205"/>
      <c r="MK12" s="205"/>
      <c r="ML12" s="205"/>
      <c r="MM12" s="205"/>
      <c r="MN12" s="205"/>
      <c r="MO12" s="205"/>
      <c r="MP12" s="205"/>
      <c r="MQ12" s="205"/>
      <c r="MR12" s="205"/>
      <c r="MS12" s="205"/>
      <c r="MT12" s="205"/>
      <c r="MU12" s="205"/>
      <c r="MV12" s="205"/>
      <c r="MW12" s="205"/>
      <c r="MX12" s="205"/>
      <c r="MY12" s="205"/>
      <c r="MZ12" s="205"/>
      <c r="NA12" s="205"/>
      <c r="NB12" s="90"/>
    </row>
    <row r="13" spans="1:366" ht="42.75" customHeight="1" thickBot="1" x14ac:dyDescent="0.3">
      <c r="B13" s="96"/>
      <c r="C13" s="210" t="s">
        <v>7</v>
      </c>
      <c r="D13" s="144"/>
      <c r="E13" s="212" t="s">
        <v>45</v>
      </c>
      <c r="F13" s="206" t="s">
        <v>8</v>
      </c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07"/>
      <c r="AH13" s="207"/>
      <c r="AI13" s="207"/>
      <c r="AJ13" s="207"/>
      <c r="AK13" s="207"/>
      <c r="AL13" s="207"/>
      <c r="AM13" s="207"/>
      <c r="AN13" s="207"/>
      <c r="AO13" s="207"/>
      <c r="AP13" s="207"/>
      <c r="AQ13" s="207"/>
      <c r="AR13" s="207"/>
      <c r="AS13" s="207"/>
      <c r="AT13" s="207"/>
      <c r="AU13" s="207"/>
      <c r="AV13" s="207"/>
      <c r="AW13" s="207"/>
      <c r="AX13" s="207"/>
      <c r="AY13" s="207"/>
      <c r="AZ13" s="207"/>
      <c r="BA13" s="207"/>
      <c r="BB13" s="207"/>
      <c r="BC13" s="207"/>
      <c r="BD13" s="207"/>
      <c r="BE13" s="207"/>
      <c r="BF13" s="207"/>
      <c r="BG13" s="207"/>
      <c r="BH13" s="207"/>
      <c r="BI13" s="207"/>
      <c r="BJ13" s="207"/>
      <c r="BK13" s="207"/>
      <c r="BL13" s="207"/>
      <c r="BM13" s="208"/>
      <c r="BN13" s="206" t="s">
        <v>32</v>
      </c>
      <c r="BO13" s="207"/>
      <c r="BP13" s="207"/>
      <c r="BQ13" s="207"/>
      <c r="BR13" s="207"/>
      <c r="BS13" s="207"/>
      <c r="BT13" s="207"/>
      <c r="BU13" s="207"/>
      <c r="BV13" s="207"/>
      <c r="BW13" s="207"/>
      <c r="BX13" s="207"/>
      <c r="BY13" s="207"/>
      <c r="BZ13" s="207"/>
      <c r="CA13" s="207"/>
      <c r="CB13" s="207"/>
      <c r="CC13" s="207"/>
      <c r="CD13" s="207"/>
      <c r="CE13" s="207"/>
      <c r="CF13" s="207"/>
      <c r="CG13" s="207"/>
      <c r="CH13" s="207"/>
      <c r="CI13" s="207"/>
      <c r="CJ13" s="207"/>
      <c r="CK13" s="207"/>
      <c r="CL13" s="207"/>
      <c r="CM13" s="207"/>
      <c r="CN13" s="207"/>
      <c r="CO13" s="207"/>
      <c r="CP13" s="207"/>
      <c r="CQ13" s="207"/>
      <c r="CR13" s="207"/>
      <c r="CS13" s="207"/>
      <c r="CT13" s="207"/>
      <c r="CU13" s="207"/>
      <c r="CV13" s="207"/>
      <c r="CW13" s="207"/>
      <c r="CX13" s="207"/>
      <c r="CY13" s="207"/>
      <c r="CZ13" s="207"/>
      <c r="DA13" s="207"/>
      <c r="DB13" s="207"/>
      <c r="DC13" s="207"/>
      <c r="DD13" s="207"/>
      <c r="DE13" s="207"/>
      <c r="DF13" s="207"/>
      <c r="DG13" s="207"/>
      <c r="DH13" s="207"/>
      <c r="DI13" s="207"/>
      <c r="DJ13" s="207"/>
      <c r="DK13" s="207"/>
      <c r="DL13" s="207"/>
      <c r="DM13" s="207"/>
      <c r="DN13" s="207"/>
      <c r="DO13" s="207"/>
      <c r="DP13" s="207"/>
      <c r="DQ13" s="207"/>
      <c r="DR13" s="207"/>
      <c r="DS13" s="207"/>
      <c r="DT13" s="207"/>
      <c r="DU13" s="208"/>
      <c r="DV13" s="206" t="s">
        <v>23</v>
      </c>
      <c r="DW13" s="207"/>
      <c r="DX13" s="207"/>
      <c r="DY13" s="207"/>
      <c r="DZ13" s="207"/>
      <c r="EA13" s="207"/>
      <c r="EB13" s="207"/>
      <c r="EC13" s="207"/>
      <c r="ED13" s="207"/>
      <c r="EE13" s="207"/>
      <c r="EF13" s="207"/>
      <c r="EG13" s="207"/>
      <c r="EH13" s="207"/>
      <c r="EI13" s="207"/>
      <c r="EJ13" s="207"/>
      <c r="EK13" s="207"/>
      <c r="EL13" s="207"/>
      <c r="EM13" s="207"/>
      <c r="EN13" s="207"/>
      <c r="EO13" s="207"/>
      <c r="EP13" s="207"/>
      <c r="EQ13" s="207"/>
      <c r="ER13" s="207"/>
      <c r="ES13" s="207"/>
      <c r="ET13" s="207"/>
      <c r="EU13" s="207"/>
      <c r="EV13" s="207"/>
      <c r="EW13" s="207"/>
      <c r="EX13" s="207"/>
      <c r="EY13" s="207"/>
      <c r="EZ13" s="207"/>
      <c r="FA13" s="207"/>
      <c r="FB13" s="207"/>
      <c r="FC13" s="207"/>
      <c r="FD13" s="207"/>
      <c r="FE13" s="207"/>
      <c r="FF13" s="207"/>
      <c r="FG13" s="207"/>
      <c r="FH13" s="207"/>
      <c r="FI13" s="207"/>
      <c r="FJ13" s="207"/>
      <c r="FK13" s="207"/>
      <c r="FL13" s="207"/>
      <c r="FM13" s="207"/>
      <c r="FN13" s="207"/>
      <c r="FO13" s="207"/>
      <c r="FP13" s="207"/>
      <c r="FQ13" s="207"/>
      <c r="FR13" s="207"/>
      <c r="FS13" s="207"/>
      <c r="FT13" s="207"/>
      <c r="FU13" s="207"/>
      <c r="FV13" s="207"/>
      <c r="FW13" s="207"/>
      <c r="FX13" s="207"/>
      <c r="FY13" s="207"/>
      <c r="FZ13" s="207"/>
      <c r="GA13" s="207"/>
      <c r="GB13" s="207"/>
      <c r="GC13" s="208"/>
      <c r="GD13" s="206" t="s">
        <v>60</v>
      </c>
      <c r="GE13" s="207"/>
      <c r="GF13" s="207"/>
      <c r="GG13" s="207"/>
      <c r="GH13" s="207"/>
      <c r="GI13" s="207"/>
      <c r="GJ13" s="207"/>
      <c r="GK13" s="207"/>
      <c r="GL13" s="207"/>
      <c r="GM13" s="207"/>
      <c r="GN13" s="207"/>
      <c r="GO13" s="207"/>
      <c r="GP13" s="207"/>
      <c r="GQ13" s="207"/>
      <c r="GR13" s="207"/>
      <c r="GS13" s="207"/>
      <c r="GT13" s="207"/>
      <c r="GU13" s="207"/>
      <c r="GV13" s="207"/>
      <c r="GW13" s="207"/>
      <c r="GX13" s="207"/>
      <c r="GY13" s="207"/>
      <c r="GZ13" s="207"/>
      <c r="HA13" s="207"/>
      <c r="HB13" s="207"/>
      <c r="HC13" s="207"/>
      <c r="HD13" s="207"/>
      <c r="HE13" s="207"/>
      <c r="HF13" s="207"/>
      <c r="HG13" s="207"/>
      <c r="HH13" s="207"/>
      <c r="HI13" s="207"/>
      <c r="HJ13" s="207"/>
      <c r="HK13" s="207"/>
      <c r="HL13" s="207"/>
      <c r="HM13" s="207"/>
      <c r="HN13" s="207"/>
      <c r="HO13" s="207"/>
      <c r="HP13" s="207"/>
      <c r="HQ13" s="207"/>
      <c r="HR13" s="207"/>
      <c r="HS13" s="207"/>
      <c r="HT13" s="207"/>
      <c r="HU13" s="207"/>
      <c r="HV13" s="207"/>
      <c r="HW13" s="207"/>
      <c r="HX13" s="207"/>
      <c r="HY13" s="207"/>
      <c r="HZ13" s="207"/>
      <c r="IA13" s="207"/>
      <c r="IB13" s="207"/>
      <c r="IC13" s="207"/>
      <c r="ID13" s="207"/>
      <c r="IE13" s="207"/>
      <c r="IF13" s="207"/>
      <c r="IG13" s="207"/>
      <c r="IH13" s="207"/>
      <c r="II13" s="207"/>
      <c r="IJ13" s="207"/>
      <c r="IK13" s="208"/>
      <c r="IL13" s="206" t="s">
        <v>65</v>
      </c>
      <c r="IM13" s="207"/>
      <c r="IN13" s="207"/>
      <c r="IO13" s="207"/>
      <c r="IP13" s="207"/>
      <c r="IQ13" s="207"/>
      <c r="IR13" s="207"/>
      <c r="IS13" s="207"/>
      <c r="IT13" s="207"/>
      <c r="IU13" s="207"/>
      <c r="IV13" s="207"/>
      <c r="IW13" s="207"/>
      <c r="IX13" s="207"/>
      <c r="IY13" s="207"/>
      <c r="IZ13" s="207"/>
      <c r="JA13" s="207"/>
      <c r="JB13" s="207"/>
      <c r="JC13" s="207"/>
      <c r="JD13" s="207"/>
      <c r="JE13" s="207"/>
      <c r="JF13" s="207"/>
      <c r="JG13" s="207"/>
      <c r="JH13" s="207"/>
      <c r="JI13" s="207"/>
      <c r="JJ13" s="207"/>
      <c r="JK13" s="207"/>
      <c r="JL13" s="207"/>
      <c r="JM13" s="207"/>
      <c r="JN13" s="207"/>
      <c r="JO13" s="207"/>
      <c r="JP13" s="207"/>
      <c r="JQ13" s="207"/>
      <c r="JR13" s="207"/>
      <c r="JS13" s="207"/>
      <c r="JT13" s="207"/>
      <c r="JU13" s="207"/>
      <c r="JV13" s="207"/>
      <c r="JW13" s="207"/>
      <c r="JX13" s="207"/>
      <c r="JY13" s="207"/>
      <c r="JZ13" s="207"/>
      <c r="KA13" s="207"/>
      <c r="KB13" s="207"/>
      <c r="KC13" s="207"/>
      <c r="KD13" s="207"/>
      <c r="KE13" s="207"/>
      <c r="KF13" s="207"/>
      <c r="KG13" s="207"/>
      <c r="KH13" s="207"/>
      <c r="KI13" s="207"/>
      <c r="KJ13" s="207"/>
      <c r="KK13" s="207"/>
      <c r="KL13" s="207"/>
      <c r="KM13" s="207"/>
      <c r="KN13" s="207"/>
      <c r="KO13" s="207"/>
      <c r="KP13" s="207"/>
      <c r="KQ13" s="207"/>
      <c r="KR13" s="207"/>
      <c r="KS13" s="208"/>
      <c r="KT13" s="206" t="s">
        <v>16</v>
      </c>
      <c r="KU13" s="207"/>
      <c r="KV13" s="207"/>
      <c r="KW13" s="207"/>
      <c r="KX13" s="207"/>
      <c r="KY13" s="207"/>
      <c r="KZ13" s="207"/>
      <c r="LA13" s="207"/>
      <c r="LB13" s="207"/>
      <c r="LC13" s="207"/>
      <c r="LD13" s="207"/>
      <c r="LE13" s="207"/>
      <c r="LF13" s="207"/>
      <c r="LG13" s="207"/>
      <c r="LH13" s="207"/>
      <c r="LI13" s="207"/>
      <c r="LJ13" s="207"/>
      <c r="LK13" s="207"/>
      <c r="LL13" s="207"/>
      <c r="LM13" s="207"/>
      <c r="LN13" s="207"/>
      <c r="LO13" s="207"/>
      <c r="LP13" s="207"/>
      <c r="LQ13" s="207"/>
      <c r="LR13" s="207"/>
      <c r="LS13" s="207"/>
      <c r="LT13" s="207"/>
      <c r="LU13" s="207"/>
      <c r="LV13" s="207"/>
      <c r="LW13" s="207"/>
      <c r="LX13" s="207"/>
      <c r="LY13" s="207"/>
      <c r="LZ13" s="207"/>
      <c r="MA13" s="207"/>
      <c r="MB13" s="207"/>
      <c r="MC13" s="207"/>
      <c r="MD13" s="207"/>
      <c r="ME13" s="207"/>
      <c r="MF13" s="207"/>
      <c r="MG13" s="207"/>
      <c r="MH13" s="207"/>
      <c r="MI13" s="207"/>
      <c r="MJ13" s="207"/>
      <c r="MK13" s="207"/>
      <c r="ML13" s="207"/>
      <c r="MM13" s="207"/>
      <c r="MN13" s="207"/>
      <c r="MO13" s="207"/>
      <c r="MP13" s="207"/>
      <c r="MQ13" s="207"/>
      <c r="MR13" s="207"/>
      <c r="MS13" s="207"/>
      <c r="MT13" s="207"/>
      <c r="MU13" s="207"/>
      <c r="MV13" s="207"/>
      <c r="MW13" s="207"/>
      <c r="MX13" s="207"/>
      <c r="MY13" s="207"/>
      <c r="MZ13" s="207"/>
      <c r="NA13" s="208"/>
      <c r="NB13" s="90"/>
    </row>
    <row r="14" spans="1:366" ht="12.75" customHeight="1" thickBot="1" x14ac:dyDescent="0.35">
      <c r="B14" s="96"/>
      <c r="C14" s="211"/>
      <c r="D14" s="145"/>
      <c r="E14" s="213"/>
      <c r="F14" s="103"/>
      <c r="G14" s="104"/>
      <c r="H14" s="104"/>
      <c r="I14" s="104"/>
      <c r="J14" s="193" t="s">
        <v>40</v>
      </c>
      <c r="K14" s="193"/>
      <c r="L14" s="193"/>
      <c r="M14" s="193"/>
      <c r="N14" s="104"/>
      <c r="O14" s="104"/>
      <c r="P14" s="194" t="s">
        <v>28</v>
      </c>
      <c r="Q14" s="194"/>
      <c r="R14" s="194"/>
      <c r="S14" s="194"/>
      <c r="T14" s="129"/>
      <c r="U14" s="129"/>
      <c r="V14" s="193" t="s">
        <v>41</v>
      </c>
      <c r="W14" s="193"/>
      <c r="X14" s="193"/>
      <c r="Y14" s="193"/>
      <c r="Z14" s="104"/>
      <c r="AA14" s="104"/>
      <c r="AB14" s="194" t="s">
        <v>29</v>
      </c>
      <c r="AC14" s="194"/>
      <c r="AD14" s="194"/>
      <c r="AE14" s="194"/>
      <c r="AF14" s="129"/>
      <c r="AG14" s="129"/>
      <c r="AH14" s="193" t="s">
        <v>42</v>
      </c>
      <c r="AI14" s="193"/>
      <c r="AJ14" s="193"/>
      <c r="AK14" s="193"/>
      <c r="AL14" s="104"/>
      <c r="AM14" s="104"/>
      <c r="AN14" s="194" t="s">
        <v>30</v>
      </c>
      <c r="AO14" s="194"/>
      <c r="AP14" s="194"/>
      <c r="AQ14" s="194"/>
      <c r="AR14" s="129"/>
      <c r="AS14" s="129"/>
      <c r="AT14" s="193" t="s">
        <v>43</v>
      </c>
      <c r="AU14" s="193"/>
      <c r="AV14" s="193"/>
      <c r="AW14" s="193"/>
      <c r="AX14" s="104"/>
      <c r="AY14" s="104"/>
      <c r="AZ14" s="194" t="s">
        <v>31</v>
      </c>
      <c r="BA14" s="194"/>
      <c r="BB14" s="194"/>
      <c r="BC14" s="194"/>
      <c r="BD14" s="129"/>
      <c r="BE14" s="129"/>
      <c r="BF14" s="193" t="s">
        <v>44</v>
      </c>
      <c r="BG14" s="193"/>
      <c r="BH14" s="193"/>
      <c r="BI14" s="193"/>
      <c r="BJ14" s="104"/>
      <c r="BK14" s="104"/>
      <c r="BL14" s="104"/>
      <c r="BM14" s="105"/>
      <c r="BN14" s="103"/>
      <c r="BO14" s="104"/>
      <c r="BP14" s="104"/>
      <c r="BQ14" s="104"/>
      <c r="BR14" s="193" t="s">
        <v>40</v>
      </c>
      <c r="BS14" s="193"/>
      <c r="BT14" s="193"/>
      <c r="BU14" s="193"/>
      <c r="BV14" s="104"/>
      <c r="BW14" s="104"/>
      <c r="BX14" s="194" t="s">
        <v>28</v>
      </c>
      <c r="BY14" s="194"/>
      <c r="BZ14" s="194"/>
      <c r="CA14" s="194"/>
      <c r="CB14" s="129"/>
      <c r="CC14" s="129"/>
      <c r="CD14" s="193" t="s">
        <v>41</v>
      </c>
      <c r="CE14" s="193"/>
      <c r="CF14" s="193"/>
      <c r="CG14" s="193"/>
      <c r="CH14" s="104"/>
      <c r="CI14" s="104"/>
      <c r="CJ14" s="194" t="s">
        <v>29</v>
      </c>
      <c r="CK14" s="194"/>
      <c r="CL14" s="194"/>
      <c r="CM14" s="194"/>
      <c r="CN14" s="129"/>
      <c r="CO14" s="129"/>
      <c r="CP14" s="193" t="s">
        <v>42</v>
      </c>
      <c r="CQ14" s="193"/>
      <c r="CR14" s="193"/>
      <c r="CS14" s="193"/>
      <c r="CT14" s="104"/>
      <c r="CU14" s="104"/>
      <c r="CV14" s="194" t="s">
        <v>30</v>
      </c>
      <c r="CW14" s="194"/>
      <c r="CX14" s="194"/>
      <c r="CY14" s="194"/>
      <c r="CZ14" s="129"/>
      <c r="DA14" s="129"/>
      <c r="DB14" s="193" t="s">
        <v>43</v>
      </c>
      <c r="DC14" s="193"/>
      <c r="DD14" s="193"/>
      <c r="DE14" s="193"/>
      <c r="DF14" s="104"/>
      <c r="DG14" s="104"/>
      <c r="DH14" s="194" t="s">
        <v>31</v>
      </c>
      <c r="DI14" s="194"/>
      <c r="DJ14" s="194"/>
      <c r="DK14" s="194"/>
      <c r="DL14" s="129"/>
      <c r="DM14" s="129"/>
      <c r="DN14" s="193" t="s">
        <v>44</v>
      </c>
      <c r="DO14" s="193"/>
      <c r="DP14" s="193"/>
      <c r="DQ14" s="193"/>
      <c r="DR14" s="104"/>
      <c r="DS14" s="104"/>
      <c r="DT14" s="104"/>
      <c r="DU14" s="105"/>
      <c r="DV14" s="103"/>
      <c r="DW14" s="104"/>
      <c r="DX14" s="104"/>
      <c r="DY14" s="104"/>
      <c r="DZ14" s="193" t="s">
        <v>40</v>
      </c>
      <c r="EA14" s="193"/>
      <c r="EB14" s="193"/>
      <c r="EC14" s="193"/>
      <c r="ED14" s="104"/>
      <c r="EE14" s="104"/>
      <c r="EF14" s="194" t="s">
        <v>28</v>
      </c>
      <c r="EG14" s="194"/>
      <c r="EH14" s="194"/>
      <c r="EI14" s="194"/>
      <c r="EJ14" s="129"/>
      <c r="EK14" s="129"/>
      <c r="EL14" s="193" t="s">
        <v>41</v>
      </c>
      <c r="EM14" s="193"/>
      <c r="EN14" s="193"/>
      <c r="EO14" s="193"/>
      <c r="EP14" s="104"/>
      <c r="EQ14" s="104"/>
      <c r="ER14" s="194" t="s">
        <v>29</v>
      </c>
      <c r="ES14" s="194"/>
      <c r="ET14" s="194"/>
      <c r="EU14" s="194"/>
      <c r="EV14" s="129"/>
      <c r="EW14" s="129"/>
      <c r="EX14" s="193" t="s">
        <v>42</v>
      </c>
      <c r="EY14" s="193"/>
      <c r="EZ14" s="193"/>
      <c r="FA14" s="193"/>
      <c r="FB14" s="104"/>
      <c r="FC14" s="104"/>
      <c r="FD14" s="194" t="s">
        <v>30</v>
      </c>
      <c r="FE14" s="194"/>
      <c r="FF14" s="194"/>
      <c r="FG14" s="194"/>
      <c r="FH14" s="129"/>
      <c r="FI14" s="129"/>
      <c r="FJ14" s="193" t="s">
        <v>43</v>
      </c>
      <c r="FK14" s="193"/>
      <c r="FL14" s="193"/>
      <c r="FM14" s="193"/>
      <c r="FN14" s="104"/>
      <c r="FO14" s="104"/>
      <c r="FP14" s="194" t="s">
        <v>31</v>
      </c>
      <c r="FQ14" s="194"/>
      <c r="FR14" s="194"/>
      <c r="FS14" s="194"/>
      <c r="FT14" s="129"/>
      <c r="FU14" s="129"/>
      <c r="FV14" s="193" t="s">
        <v>44</v>
      </c>
      <c r="FW14" s="193"/>
      <c r="FX14" s="193"/>
      <c r="FY14" s="193"/>
      <c r="FZ14" s="104"/>
      <c r="GA14" s="104"/>
      <c r="GB14" s="104"/>
      <c r="GC14" s="105"/>
      <c r="GD14" s="103"/>
      <c r="GE14" s="104"/>
      <c r="GF14" s="104"/>
      <c r="GG14" s="104"/>
      <c r="GH14" s="193" t="s">
        <v>40</v>
      </c>
      <c r="GI14" s="193"/>
      <c r="GJ14" s="193"/>
      <c r="GK14" s="193"/>
      <c r="GL14" s="104"/>
      <c r="GM14" s="104"/>
      <c r="GN14" s="194" t="s">
        <v>28</v>
      </c>
      <c r="GO14" s="194"/>
      <c r="GP14" s="194"/>
      <c r="GQ14" s="194"/>
      <c r="GR14" s="129"/>
      <c r="GS14" s="129"/>
      <c r="GT14" s="193" t="s">
        <v>41</v>
      </c>
      <c r="GU14" s="193"/>
      <c r="GV14" s="193"/>
      <c r="GW14" s="193"/>
      <c r="GX14" s="104"/>
      <c r="GY14" s="104"/>
      <c r="GZ14" s="194" t="s">
        <v>29</v>
      </c>
      <c r="HA14" s="194"/>
      <c r="HB14" s="194"/>
      <c r="HC14" s="194"/>
      <c r="HD14" s="129"/>
      <c r="HE14" s="129"/>
      <c r="HF14" s="193" t="s">
        <v>42</v>
      </c>
      <c r="HG14" s="193"/>
      <c r="HH14" s="193"/>
      <c r="HI14" s="193"/>
      <c r="HJ14" s="104"/>
      <c r="HK14" s="104"/>
      <c r="HL14" s="194" t="s">
        <v>30</v>
      </c>
      <c r="HM14" s="194"/>
      <c r="HN14" s="194"/>
      <c r="HO14" s="194"/>
      <c r="HP14" s="129"/>
      <c r="HQ14" s="129"/>
      <c r="HR14" s="193" t="s">
        <v>43</v>
      </c>
      <c r="HS14" s="193"/>
      <c r="HT14" s="193"/>
      <c r="HU14" s="193"/>
      <c r="HV14" s="104"/>
      <c r="HW14" s="104"/>
      <c r="HX14" s="194" t="s">
        <v>31</v>
      </c>
      <c r="HY14" s="194"/>
      <c r="HZ14" s="194"/>
      <c r="IA14" s="194"/>
      <c r="IB14" s="129"/>
      <c r="IC14" s="129"/>
      <c r="ID14" s="193" t="s">
        <v>44</v>
      </c>
      <c r="IE14" s="193"/>
      <c r="IF14" s="193"/>
      <c r="IG14" s="193"/>
      <c r="IH14" s="104"/>
      <c r="II14" s="104"/>
      <c r="IJ14" s="104"/>
      <c r="IK14" s="105"/>
      <c r="IL14" s="103"/>
      <c r="IM14" s="104"/>
      <c r="IN14" s="104"/>
      <c r="IO14" s="104"/>
      <c r="IP14" s="193" t="s">
        <v>40</v>
      </c>
      <c r="IQ14" s="193"/>
      <c r="IR14" s="193"/>
      <c r="IS14" s="193"/>
      <c r="IT14" s="104"/>
      <c r="IU14" s="104"/>
      <c r="IV14" s="194" t="s">
        <v>28</v>
      </c>
      <c r="IW14" s="194"/>
      <c r="IX14" s="194"/>
      <c r="IY14" s="194"/>
      <c r="IZ14" s="129"/>
      <c r="JA14" s="129"/>
      <c r="JB14" s="193" t="s">
        <v>41</v>
      </c>
      <c r="JC14" s="193"/>
      <c r="JD14" s="193"/>
      <c r="JE14" s="193"/>
      <c r="JF14" s="104"/>
      <c r="JG14" s="104"/>
      <c r="JH14" s="194" t="s">
        <v>29</v>
      </c>
      <c r="JI14" s="194"/>
      <c r="JJ14" s="194"/>
      <c r="JK14" s="194"/>
      <c r="JL14" s="129"/>
      <c r="JM14" s="129"/>
      <c r="JN14" s="193" t="s">
        <v>42</v>
      </c>
      <c r="JO14" s="193"/>
      <c r="JP14" s="193"/>
      <c r="JQ14" s="193"/>
      <c r="JR14" s="104"/>
      <c r="JS14" s="104"/>
      <c r="JT14" s="194" t="s">
        <v>30</v>
      </c>
      <c r="JU14" s="194"/>
      <c r="JV14" s="194"/>
      <c r="JW14" s="194"/>
      <c r="JX14" s="129"/>
      <c r="JY14" s="129"/>
      <c r="JZ14" s="193" t="s">
        <v>43</v>
      </c>
      <c r="KA14" s="193"/>
      <c r="KB14" s="193"/>
      <c r="KC14" s="193"/>
      <c r="KD14" s="104"/>
      <c r="KE14" s="104"/>
      <c r="KF14" s="194" t="s">
        <v>31</v>
      </c>
      <c r="KG14" s="194"/>
      <c r="KH14" s="194"/>
      <c r="KI14" s="194"/>
      <c r="KJ14" s="129"/>
      <c r="KK14" s="129"/>
      <c r="KL14" s="193" t="s">
        <v>44</v>
      </c>
      <c r="KM14" s="193"/>
      <c r="KN14" s="193"/>
      <c r="KO14" s="193"/>
      <c r="KP14" s="104"/>
      <c r="KQ14" s="104"/>
      <c r="KR14" s="104"/>
      <c r="KS14" s="105"/>
      <c r="KT14" s="103"/>
      <c r="KU14" s="104"/>
      <c r="KV14" s="104"/>
      <c r="KW14" s="104"/>
      <c r="KX14" s="193" t="s">
        <v>40</v>
      </c>
      <c r="KY14" s="193"/>
      <c r="KZ14" s="193"/>
      <c r="LA14" s="193"/>
      <c r="LB14" s="104"/>
      <c r="LC14" s="104"/>
      <c r="LD14" s="194" t="s">
        <v>28</v>
      </c>
      <c r="LE14" s="194"/>
      <c r="LF14" s="194"/>
      <c r="LG14" s="194"/>
      <c r="LH14" s="129"/>
      <c r="LI14" s="129"/>
      <c r="LJ14" s="193" t="s">
        <v>41</v>
      </c>
      <c r="LK14" s="193"/>
      <c r="LL14" s="193"/>
      <c r="LM14" s="193"/>
      <c r="LN14" s="104"/>
      <c r="LO14" s="104"/>
      <c r="LP14" s="194" t="s">
        <v>29</v>
      </c>
      <c r="LQ14" s="194"/>
      <c r="LR14" s="194"/>
      <c r="LS14" s="194"/>
      <c r="LT14" s="129"/>
      <c r="LU14" s="129"/>
      <c r="LV14" s="193" t="s">
        <v>42</v>
      </c>
      <c r="LW14" s="193"/>
      <c r="LX14" s="193"/>
      <c r="LY14" s="193"/>
      <c r="LZ14" s="104"/>
      <c r="MA14" s="104"/>
      <c r="MB14" s="194" t="s">
        <v>30</v>
      </c>
      <c r="MC14" s="194"/>
      <c r="MD14" s="194"/>
      <c r="ME14" s="194"/>
      <c r="MF14" s="129"/>
      <c r="MG14" s="129"/>
      <c r="MH14" s="193" t="s">
        <v>43</v>
      </c>
      <c r="MI14" s="193"/>
      <c r="MJ14" s="193"/>
      <c r="MK14" s="193"/>
      <c r="ML14" s="104"/>
      <c r="MM14" s="104"/>
      <c r="MN14" s="194" t="s">
        <v>31</v>
      </c>
      <c r="MO14" s="194"/>
      <c r="MP14" s="194"/>
      <c r="MQ14" s="194"/>
      <c r="MR14" s="129"/>
      <c r="MS14" s="129"/>
      <c r="MT14" s="193" t="s">
        <v>44</v>
      </c>
      <c r="MU14" s="193"/>
      <c r="MV14" s="193"/>
      <c r="MW14" s="193"/>
      <c r="MX14" s="104"/>
      <c r="MY14" s="104"/>
      <c r="MZ14" s="104"/>
      <c r="NA14" s="105"/>
      <c r="NB14" s="90"/>
    </row>
    <row r="15" spans="1:36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90"/>
    </row>
    <row r="16" spans="1:366" ht="20.100000000000001" customHeight="1" x14ac:dyDescent="0.25">
      <c r="A16" s="100" t="s">
        <v>25</v>
      </c>
      <c r="B16" s="63" t="str">
        <f>IF(LEN(C17)=0,"",C17)</f>
        <v>Analyse - Planification initiale</v>
      </c>
      <c r="C16" s="195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90"/>
    </row>
    <row r="17" spans="1:366" ht="20.100000000000001" customHeight="1" x14ac:dyDescent="0.25">
      <c r="A17" s="100" t="s">
        <v>24</v>
      </c>
      <c r="B17" s="63" t="str">
        <f>IF(LEN(C19)=0,"",C19)</f>
        <v>Réalisation - Interfaces</v>
      </c>
      <c r="C17" s="187" t="s">
        <v>36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90"/>
    </row>
    <row r="18" spans="1:366" ht="20.100000000000001" customHeight="1" x14ac:dyDescent="0.3">
      <c r="A18" s="100" t="s">
        <v>25</v>
      </c>
      <c r="B18" s="63" t="str">
        <f>IF(LEN(C21)=0,"",C21)</f>
        <v>Doc - Journal de travail</v>
      </c>
      <c r="C18" s="195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90"/>
    </row>
    <row r="19" spans="1:366" ht="20.100000000000001" customHeight="1" x14ac:dyDescent="0.25">
      <c r="A19" s="100" t="s">
        <v>24</v>
      </c>
      <c r="B19" s="63" t="str">
        <f>IF(LEN(C23)=0,"",C23)</f>
        <v>Doc - Rapport</v>
      </c>
      <c r="C19" s="187" t="s">
        <v>37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90"/>
    </row>
    <row r="20" spans="1:366" ht="20.100000000000001" customHeight="1" x14ac:dyDescent="0.25">
      <c r="A20" s="100" t="s">
        <v>25</v>
      </c>
      <c r="B20" s="63" t="str">
        <f>IF(LEN(C25)=0,"",C25)</f>
        <v>Mise en place Serveur Apache</v>
      </c>
      <c r="C20" s="188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90"/>
    </row>
    <row r="21" spans="1:366" ht="20.100000000000001" customHeight="1" x14ac:dyDescent="0.25">
      <c r="A21" s="100" t="s">
        <v>24</v>
      </c>
      <c r="B21" s="63" t="str">
        <f>IF(LEN(C27)=0,"",C27)</f>
        <v>Analyse choix client et serveur</v>
      </c>
      <c r="C21" s="187" t="s">
        <v>21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90"/>
    </row>
    <row r="22" spans="1:366" ht="20.100000000000001" customHeight="1" x14ac:dyDescent="0.25">
      <c r="A22" s="100" t="s">
        <v>25</v>
      </c>
      <c r="B22" s="63" t="str">
        <f>IF(LEN(C29)=0,"",C29)</f>
        <v>Design du schema electrique</v>
      </c>
      <c r="C22" s="188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90"/>
    </row>
    <row r="23" spans="1:366" ht="20.100000000000001" customHeight="1" x14ac:dyDescent="0.25">
      <c r="A23" s="100" t="s">
        <v>24</v>
      </c>
      <c r="B23" s="63" t="str">
        <f>IF(LEN(C31)=0,"",C31)</f>
        <v>Analyse du matériel (analyse datasheet)</v>
      </c>
      <c r="C23" s="187" t="s">
        <v>20</v>
      </c>
      <c r="D23" s="146" t="str">
        <f t="shared" si="0"/>
        <v>5h</v>
      </c>
      <c r="E23" s="39">
        <v>60</v>
      </c>
      <c r="F23" s="166"/>
      <c r="G23" s="167"/>
      <c r="H23" s="167"/>
      <c r="I23" s="167"/>
      <c r="J23" s="168"/>
      <c r="K23" s="169"/>
      <c r="L23" s="168"/>
      <c r="M23" s="168"/>
      <c r="N23" s="168"/>
      <c r="O23" s="168"/>
      <c r="P23" s="168"/>
      <c r="Q23" s="170"/>
      <c r="R23" s="168"/>
      <c r="S23" s="168"/>
      <c r="T23" s="168"/>
      <c r="U23" s="168"/>
      <c r="V23" s="168"/>
      <c r="W23" s="171"/>
      <c r="X23" s="168"/>
      <c r="Y23" s="168"/>
      <c r="Z23" s="168"/>
      <c r="AA23" s="168"/>
      <c r="AB23" s="168"/>
      <c r="AC23" s="170"/>
      <c r="AD23" s="168"/>
      <c r="AE23" s="168"/>
      <c r="AF23" s="168"/>
      <c r="AG23" s="168"/>
      <c r="AH23" s="168"/>
      <c r="AI23" s="171"/>
      <c r="AJ23" s="167"/>
      <c r="AK23" s="167"/>
      <c r="AL23" s="167"/>
      <c r="AM23" s="167"/>
      <c r="AN23" s="168"/>
      <c r="AO23" s="170"/>
      <c r="AP23" s="168"/>
      <c r="AQ23" s="168"/>
      <c r="AR23" s="168"/>
      <c r="AS23" s="168"/>
      <c r="AT23" s="168"/>
      <c r="AU23" s="171"/>
      <c r="AV23" s="168"/>
      <c r="AW23" s="168"/>
      <c r="AX23" s="168"/>
      <c r="AY23" s="168"/>
      <c r="AZ23" s="168"/>
      <c r="BA23" s="170"/>
      <c r="BB23" s="168"/>
      <c r="BC23" s="168"/>
      <c r="BD23" s="168"/>
      <c r="BE23" s="168"/>
      <c r="BF23" s="168"/>
      <c r="BG23" s="171"/>
      <c r="BH23" s="168"/>
      <c r="BI23" s="168"/>
      <c r="BJ23" s="168"/>
      <c r="BK23" s="168"/>
      <c r="BL23" s="168"/>
      <c r="BM23" s="17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90"/>
    </row>
    <row r="24" spans="1:366" ht="20.100000000000001" customHeight="1" x14ac:dyDescent="0.25">
      <c r="A24" s="100" t="s">
        <v>25</v>
      </c>
      <c r="B24" s="63" t="str">
        <f>IF(LEN(C33)=0,"",C33)</f>
        <v>Vérification du matériel</v>
      </c>
      <c r="C24" s="188"/>
      <c r="D24" s="147" t="str">
        <f t="shared" si="0"/>
        <v>2h30min</v>
      </c>
      <c r="E24" s="27">
        <v>30</v>
      </c>
      <c r="F24" s="179"/>
      <c r="G24" s="180"/>
      <c r="H24" s="180"/>
      <c r="I24" s="180"/>
      <c r="J24" s="181"/>
      <c r="K24" s="182"/>
      <c r="L24" s="181"/>
      <c r="M24" s="181"/>
      <c r="N24" s="181"/>
      <c r="O24" s="181"/>
      <c r="P24" s="181"/>
      <c r="Q24" s="183"/>
      <c r="R24" s="181"/>
      <c r="S24" s="181"/>
      <c r="T24" s="181"/>
      <c r="U24" s="181"/>
      <c r="V24" s="181"/>
      <c r="W24" s="184"/>
      <c r="X24" s="181"/>
      <c r="Y24" s="181"/>
      <c r="Z24" s="181"/>
      <c r="AA24" s="181"/>
      <c r="AB24" s="181"/>
      <c r="AC24" s="183"/>
      <c r="AD24" s="181"/>
      <c r="AE24" s="181"/>
      <c r="AF24" s="181"/>
      <c r="AG24" s="181"/>
      <c r="AH24" s="181"/>
      <c r="AI24" s="184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90"/>
    </row>
    <row r="25" spans="1:366" ht="20.100000000000001" customHeight="1" x14ac:dyDescent="0.25">
      <c r="A25" s="100" t="s">
        <v>24</v>
      </c>
      <c r="B25" s="63" t="str">
        <f>IF(LEN(C35)=0,"",C35)</f>
        <v>Analyse PWN</v>
      </c>
      <c r="C25" s="187" t="s">
        <v>47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3"/>
      <c r="GE25" s="174"/>
      <c r="GF25" s="174"/>
      <c r="GG25" s="174"/>
      <c r="GH25" s="175"/>
      <c r="GI25" s="176"/>
      <c r="GJ25" s="175"/>
      <c r="GK25" s="175"/>
      <c r="GL25" s="175"/>
      <c r="GM25" s="175"/>
      <c r="GN25" s="175"/>
      <c r="GO25" s="17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90"/>
    </row>
    <row r="26" spans="1:366" ht="20.100000000000001" customHeight="1" x14ac:dyDescent="0.3">
      <c r="A26" s="100" t="s">
        <v>25</v>
      </c>
      <c r="B26" s="63" t="str">
        <f>IF(LEN(C37)=0,"",C37)</f>
        <v>Analyse GPIOS arduino</v>
      </c>
      <c r="C26" s="188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90"/>
    </row>
    <row r="27" spans="1:366" ht="20.100000000000001" customHeight="1" x14ac:dyDescent="0.25">
      <c r="A27" s="100" t="s">
        <v>24</v>
      </c>
      <c r="B27" s="63" t="str">
        <f>IF(LEN(C39)=0,"",C39)</f>
        <v>Mise en place de l'environnement PlatformIO</v>
      </c>
      <c r="C27" s="187" t="s">
        <v>51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90"/>
    </row>
    <row r="28" spans="1:366" ht="20.100000000000001" customHeight="1" x14ac:dyDescent="0.3">
      <c r="A28" s="100" t="s">
        <v>25</v>
      </c>
      <c r="B28" s="63" t="str">
        <f>IF(LEN(C41)=0,"",C41)</f>
        <v>Analyse de la librairie aREST</v>
      </c>
      <c r="C28" s="195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90"/>
    </row>
    <row r="29" spans="1:366" ht="20.100000000000001" customHeight="1" x14ac:dyDescent="0.25">
      <c r="A29" s="100" t="s">
        <v>24</v>
      </c>
      <c r="B29" s="63" t="str">
        <f>IF(LEN(C43)=0,"",C43)</f>
        <v>Mise en place de l'environnement git</v>
      </c>
      <c r="C29" s="187" t="s">
        <v>52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90"/>
    </row>
    <row r="30" spans="1:366" ht="20.100000000000001" customHeight="1" x14ac:dyDescent="0.3">
      <c r="A30" s="100" t="s">
        <v>25</v>
      </c>
      <c r="B30" s="63" t="str">
        <f>IF(LEN(C45)=0,"",C45)</f>
        <v>Mise en place de l'environnement de developpement web</v>
      </c>
      <c r="C30" s="19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90"/>
    </row>
    <row r="31" spans="1:366" ht="20.100000000000001" customHeight="1" x14ac:dyDescent="0.25">
      <c r="A31" s="100" t="s">
        <v>24</v>
      </c>
      <c r="B31" s="63" t="str">
        <f>IF(LEN(C47)=0,"",C47)</f>
        <v/>
      </c>
      <c r="C31" s="187" t="s">
        <v>53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90"/>
    </row>
    <row r="32" spans="1:366" ht="20.100000000000001" customHeight="1" x14ac:dyDescent="0.3">
      <c r="A32" s="100" t="s">
        <v>25</v>
      </c>
      <c r="B32" s="63" t="str">
        <f>IF(LEN(C49)=0,"",C49)</f>
        <v>Test projets autres collegues</v>
      </c>
      <c r="C32" s="19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90"/>
    </row>
    <row r="33" spans="1:366" ht="20.100000000000001" customHeight="1" x14ac:dyDescent="0.25">
      <c r="A33" s="100" t="s">
        <v>24</v>
      </c>
      <c r="B33" s="63" t="str">
        <f>IF(LEN(C51)=0,"",C51)</f>
        <v/>
      </c>
      <c r="C33" s="187" t="s">
        <v>54</v>
      </c>
      <c r="D33" s="146" t="str">
        <f t="shared" si="0"/>
        <v>2h</v>
      </c>
      <c r="E33" s="31">
        <v>24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173"/>
      <c r="IM33" s="174"/>
      <c r="IN33" s="174"/>
      <c r="IO33" s="174"/>
      <c r="IP33" s="175"/>
      <c r="IQ33" s="176"/>
      <c r="IR33" s="175"/>
      <c r="IS33" s="175"/>
      <c r="IT33" s="175"/>
      <c r="IU33" s="175"/>
      <c r="IV33" s="175"/>
      <c r="IW33" s="177"/>
      <c r="IX33" s="175"/>
      <c r="IY33" s="175"/>
      <c r="IZ33" s="175"/>
      <c r="JA33" s="175"/>
      <c r="JB33" s="175"/>
      <c r="JC33" s="234"/>
      <c r="JD33" s="175"/>
      <c r="JE33" s="175"/>
      <c r="JF33" s="175"/>
      <c r="JG33" s="175"/>
      <c r="JH33" s="175"/>
      <c r="JI33" s="17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90"/>
    </row>
    <row r="34" spans="1:366" ht="20.100000000000001" customHeight="1" x14ac:dyDescent="0.3">
      <c r="A34" s="100" t="s">
        <v>25</v>
      </c>
      <c r="B34" s="63" t="str">
        <f>IF(LEN(C53)=0,"",C53)</f>
        <v/>
      </c>
      <c r="C34" s="195"/>
      <c r="D34" s="148" t="str">
        <f t="shared" si="0"/>
        <v>1h55min</v>
      </c>
      <c r="E34" s="35">
        <v>23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235"/>
      <c r="IM34" s="236"/>
      <c r="IN34" s="236"/>
      <c r="IO34" s="236"/>
      <c r="IP34" s="237"/>
      <c r="IQ34" s="238"/>
      <c r="IR34" s="237"/>
      <c r="IS34" s="237"/>
      <c r="IT34" s="237"/>
      <c r="IU34" s="237"/>
      <c r="IV34" s="237"/>
      <c r="IW34" s="239"/>
      <c r="IX34" s="237"/>
      <c r="IY34" s="237"/>
      <c r="IZ34" s="237"/>
      <c r="JA34" s="237"/>
      <c r="JB34" s="237"/>
      <c r="JC34" s="240"/>
      <c r="JD34" s="237"/>
      <c r="JE34" s="237"/>
      <c r="JF34" s="237"/>
      <c r="JG34" s="237"/>
      <c r="JH34" s="2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90"/>
    </row>
    <row r="35" spans="1:366" ht="20.100000000000001" customHeight="1" x14ac:dyDescent="0.25">
      <c r="A35" s="100" t="s">
        <v>24</v>
      </c>
      <c r="B35" s="63" t="str">
        <f>IF(LEN(C55)=0,"",C55)</f>
        <v/>
      </c>
      <c r="C35" s="187" t="s">
        <v>55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90"/>
    </row>
    <row r="36" spans="1:366" ht="20.100000000000001" customHeight="1" x14ac:dyDescent="0.25">
      <c r="A36" s="100" t="s">
        <v>25</v>
      </c>
      <c r="B36" s="63" t="str">
        <f>IF(LEN(C57)=0,"",C57)</f>
        <v/>
      </c>
      <c r="C36" s="188"/>
      <c r="D36" s="147" t="str">
        <f t="shared" si="0"/>
        <v>1h55min</v>
      </c>
      <c r="E36" s="27">
        <v>23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179"/>
      <c r="BO36" s="180"/>
      <c r="BP36" s="180"/>
      <c r="BQ36" s="180"/>
      <c r="BR36" s="181"/>
      <c r="BS36" s="182"/>
      <c r="BT36" s="181"/>
      <c r="BU36" s="181"/>
      <c r="BV36" s="181"/>
      <c r="BW36" s="181"/>
      <c r="BX36" s="181"/>
      <c r="BY36" s="183"/>
      <c r="BZ36" s="181"/>
      <c r="CA36" s="181"/>
      <c r="CB36" s="181"/>
      <c r="CC36" s="181"/>
      <c r="CD36" s="181"/>
      <c r="CE36" s="184"/>
      <c r="CF36" s="181"/>
      <c r="CG36" s="181"/>
      <c r="CH36" s="181"/>
      <c r="CI36" s="181"/>
      <c r="CJ36" s="181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90"/>
    </row>
    <row r="37" spans="1:366" ht="20.100000000000001" customHeight="1" x14ac:dyDescent="0.25">
      <c r="A37" s="100" t="s">
        <v>24</v>
      </c>
      <c r="B37" s="63" t="str">
        <f>IF(LEN(C59)=0,"",C59)</f>
        <v/>
      </c>
      <c r="C37" s="187" t="s">
        <v>56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90"/>
    </row>
    <row r="38" spans="1:366" ht="20.100000000000001" customHeight="1" x14ac:dyDescent="0.3">
      <c r="A38" s="100" t="s">
        <v>25</v>
      </c>
      <c r="B38" s="63" t="str">
        <f>IF(LEN(C61)=0,"",C61)</f>
        <v/>
      </c>
      <c r="C38" s="19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90"/>
    </row>
    <row r="39" spans="1:366" ht="20.100000000000001" customHeight="1" x14ac:dyDescent="0.25">
      <c r="A39" s="100" t="s">
        <v>24</v>
      </c>
      <c r="B39" s="63" t="str">
        <f>IF(LEN(C63)=0,"",C63)</f>
        <v/>
      </c>
      <c r="C39" s="187" t="s">
        <v>57</v>
      </c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90"/>
    </row>
    <row r="40" spans="1:366" ht="20.100000000000001" customHeight="1" x14ac:dyDescent="0.25">
      <c r="A40" s="100" t="s">
        <v>25</v>
      </c>
      <c r="B40" s="63" t="str">
        <f>IF(LEN(C65)=0,"",C65)</f>
        <v/>
      </c>
      <c r="C40" s="188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90"/>
    </row>
    <row r="41" spans="1:366" ht="20.100000000000001" customHeight="1" x14ac:dyDescent="0.25">
      <c r="A41" s="100" t="s">
        <v>24</v>
      </c>
      <c r="B41" s="63" t="str">
        <f>IF(LEN(C67)=0,"",C67)</f>
        <v/>
      </c>
      <c r="C41" s="187" t="s">
        <v>50</v>
      </c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90"/>
    </row>
    <row r="42" spans="1:366" ht="20.100000000000001" customHeight="1" x14ac:dyDescent="0.3">
      <c r="A42" s="100" t="s">
        <v>25</v>
      </c>
      <c r="B42" s="63" t="str">
        <f>IF(LEN(C69)=0,"",C69)</f>
        <v/>
      </c>
      <c r="C42" s="19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90"/>
    </row>
    <row r="43" spans="1:366" ht="20.100000000000001" customHeight="1" x14ac:dyDescent="0.25">
      <c r="A43" s="100" t="s">
        <v>24</v>
      </c>
      <c r="B43" s="63" t="str">
        <f>IF(LEN(C71)=0,"",C71)</f>
        <v/>
      </c>
      <c r="C43" s="187" t="s">
        <v>58</v>
      </c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90"/>
    </row>
    <row r="44" spans="1:366" ht="20.100000000000001" customHeight="1" x14ac:dyDescent="0.3">
      <c r="A44" s="100" t="s">
        <v>25</v>
      </c>
      <c r="B44" s="63" t="str">
        <f>IF(LEN(C73)=0,"",C73)</f>
        <v/>
      </c>
      <c r="C44" s="19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90"/>
    </row>
    <row r="45" spans="1:366" ht="20.100000000000001" customHeight="1" x14ac:dyDescent="0.25">
      <c r="A45" s="100" t="s">
        <v>24</v>
      </c>
      <c r="B45" s="63" t="str">
        <f>IF(LEN(C75)=0,"",C75)</f>
        <v/>
      </c>
      <c r="C45" s="187" t="s">
        <v>59</v>
      </c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90"/>
    </row>
    <row r="46" spans="1:366" ht="20.100000000000001" customHeight="1" x14ac:dyDescent="0.25">
      <c r="A46" s="100" t="s">
        <v>25</v>
      </c>
      <c r="B46" s="63" t="str">
        <f>IF(LEN(C77)=0,"",C77)</f>
        <v/>
      </c>
      <c r="C46" s="188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90"/>
    </row>
    <row r="47" spans="1:366" ht="20.100000000000001" customHeight="1" x14ac:dyDescent="0.25">
      <c r="A47" s="100" t="s">
        <v>24</v>
      </c>
      <c r="B47" s="63" t="str">
        <f>IF(LEN(C79)=0,"",C79)</f>
        <v/>
      </c>
      <c r="C47" s="187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90"/>
    </row>
    <row r="48" spans="1:366" ht="20.100000000000001" customHeight="1" x14ac:dyDescent="0.3">
      <c r="A48" s="100" t="s">
        <v>25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90"/>
    </row>
    <row r="49" spans="1:366" ht="20.100000000000001" customHeight="1" x14ac:dyDescent="0.25">
      <c r="A49" s="100" t="s">
        <v>24</v>
      </c>
      <c r="B49" s="63" t="str">
        <f>IF(LEN(C83)=0,"",C83)</f>
        <v/>
      </c>
      <c r="C49" s="187" t="s">
        <v>72</v>
      </c>
      <c r="D49" s="146" t="str">
        <f t="shared" si="0"/>
        <v>2h</v>
      </c>
      <c r="E49" s="31">
        <v>24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175"/>
      <c r="JK49" s="175"/>
      <c r="JL49" s="175"/>
      <c r="JM49" s="175"/>
      <c r="JN49" s="175"/>
      <c r="JO49" s="234"/>
      <c r="JP49" s="174"/>
      <c r="JQ49" s="174"/>
      <c r="JR49" s="174"/>
      <c r="JS49" s="174"/>
      <c r="JT49" s="175"/>
      <c r="JU49" s="177"/>
      <c r="JV49" s="175"/>
      <c r="JW49" s="175"/>
      <c r="JX49" s="175"/>
      <c r="JY49" s="175"/>
      <c r="JZ49" s="175"/>
      <c r="KA49" s="234"/>
      <c r="KB49" s="175"/>
      <c r="KC49" s="175"/>
      <c r="KD49" s="175"/>
      <c r="KE49" s="175"/>
      <c r="KF49" s="175"/>
      <c r="KG49" s="17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90"/>
    </row>
    <row r="50" spans="1:366" ht="20.100000000000001" customHeight="1" x14ac:dyDescent="0.3">
      <c r="A50" s="100" t="s">
        <v>25</v>
      </c>
      <c r="B50" s="63" t="str">
        <f>IF(LEN(C85)=0,"",C85)</f>
        <v/>
      </c>
      <c r="C50" s="195"/>
      <c r="D50" s="148" t="str">
        <f t="shared" si="0"/>
        <v>3h</v>
      </c>
      <c r="E50" s="35">
        <v>36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239"/>
      <c r="JJ50" s="237"/>
      <c r="JK50" s="237"/>
      <c r="JL50" s="237"/>
      <c r="JM50" s="237"/>
      <c r="JN50" s="237"/>
      <c r="JO50" s="240"/>
      <c r="JP50" s="236"/>
      <c r="JQ50" s="236"/>
      <c r="JR50" s="236"/>
      <c r="JS50" s="236"/>
      <c r="JT50" s="237"/>
      <c r="JU50" s="239"/>
      <c r="JV50" s="237"/>
      <c r="JW50" s="237"/>
      <c r="JX50" s="237"/>
      <c r="JY50" s="237"/>
      <c r="JZ50" s="237"/>
      <c r="KA50" s="240"/>
      <c r="KB50" s="237"/>
      <c r="KC50" s="237"/>
      <c r="KD50" s="237"/>
      <c r="KE50" s="237"/>
      <c r="KF50" s="237"/>
      <c r="KG50" s="239"/>
      <c r="KH50" s="237"/>
      <c r="KI50" s="237"/>
      <c r="KJ50" s="237"/>
      <c r="KK50" s="237"/>
      <c r="KL50" s="237"/>
      <c r="KM50" s="240"/>
      <c r="KN50" s="237"/>
      <c r="KO50" s="237"/>
      <c r="KP50" s="237"/>
      <c r="KQ50" s="237"/>
      <c r="KR50" s="2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90"/>
    </row>
    <row r="51" spans="1:366" ht="20.100000000000001" customHeight="1" x14ac:dyDescent="0.25">
      <c r="A51" s="100" t="s">
        <v>24</v>
      </c>
      <c r="B51" s="63" t="str">
        <f>IF(LEN(C87)=0,"",C87)</f>
        <v/>
      </c>
      <c r="C51" s="187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90"/>
    </row>
    <row r="52" spans="1:366" ht="20.100000000000001" customHeight="1" x14ac:dyDescent="0.25">
      <c r="A52" s="100" t="s">
        <v>25</v>
      </c>
      <c r="B52" s="63" t="str">
        <f>IF(LEN(C89)=0,"",C89)</f>
        <v/>
      </c>
      <c r="C52" s="188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90"/>
    </row>
    <row r="53" spans="1:366" ht="20.100000000000001" customHeight="1" x14ac:dyDescent="0.25">
      <c r="A53" s="100" t="s">
        <v>24</v>
      </c>
      <c r="B53" s="63" t="str">
        <f>IF(LEN(C91)=0,"",C91)</f>
        <v/>
      </c>
      <c r="C53" s="187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90"/>
    </row>
    <row r="54" spans="1:366" ht="20.100000000000001" customHeight="1" x14ac:dyDescent="0.3">
      <c r="A54" s="100" t="s">
        <v>25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90"/>
    </row>
    <row r="55" spans="1:366" ht="20.100000000000001" customHeight="1" x14ac:dyDescent="0.25">
      <c r="A55" s="100" t="s">
        <v>24</v>
      </c>
      <c r="B55" s="63"/>
      <c r="C55" s="18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90"/>
    </row>
    <row r="56" spans="1:366" ht="20.100000000000001" customHeight="1" x14ac:dyDescent="0.25">
      <c r="A56" s="100" t="s">
        <v>25</v>
      </c>
      <c r="B56" s="63"/>
      <c r="C56" s="188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90"/>
    </row>
    <row r="57" spans="1:366" ht="20.100000000000001" customHeight="1" x14ac:dyDescent="0.25">
      <c r="A57" s="100" t="s">
        <v>24</v>
      </c>
      <c r="B57" s="63"/>
      <c r="C57" s="18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90"/>
    </row>
    <row r="58" spans="1:366" ht="20.100000000000001" customHeight="1" x14ac:dyDescent="0.3">
      <c r="A58" s="100" t="s">
        <v>25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90"/>
    </row>
    <row r="59" spans="1:366" ht="20.100000000000001" customHeight="1" x14ac:dyDescent="0.25">
      <c r="A59" s="100" t="s">
        <v>24</v>
      </c>
      <c r="B59" s="63"/>
      <c r="C59" s="18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90"/>
    </row>
    <row r="60" spans="1:366" ht="20.100000000000001" customHeight="1" x14ac:dyDescent="0.3">
      <c r="A60" s="100" t="s">
        <v>25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90"/>
    </row>
    <row r="61" spans="1:366" ht="20.100000000000001" customHeight="1" x14ac:dyDescent="0.25">
      <c r="A61" s="100" t="s">
        <v>24</v>
      </c>
      <c r="B61" s="63"/>
      <c r="C61" s="18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90"/>
    </row>
    <row r="62" spans="1:366" ht="20.100000000000001" customHeight="1" x14ac:dyDescent="0.25">
      <c r="A62" s="100" t="s">
        <v>25</v>
      </c>
      <c r="B62" s="63"/>
      <c r="C62" s="188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90"/>
    </row>
    <row r="63" spans="1:366" ht="20.100000000000001" customHeight="1" x14ac:dyDescent="0.25">
      <c r="A63" s="100" t="s">
        <v>24</v>
      </c>
      <c r="B63" s="63"/>
      <c r="C63" s="18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90"/>
    </row>
    <row r="64" spans="1:366" ht="20.100000000000001" customHeight="1" x14ac:dyDescent="0.3">
      <c r="A64" s="100" t="s">
        <v>25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90"/>
    </row>
    <row r="65" spans="1:366" ht="20.100000000000001" customHeight="1" x14ac:dyDescent="0.25">
      <c r="A65" s="100" t="s">
        <v>24</v>
      </c>
      <c r="B65" s="63"/>
      <c r="C65" s="18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90"/>
    </row>
    <row r="66" spans="1:366" ht="20.100000000000001" customHeight="1" x14ac:dyDescent="0.3">
      <c r="A66" s="100" t="s">
        <v>25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90"/>
    </row>
    <row r="67" spans="1:366" ht="20.100000000000001" customHeight="1" x14ac:dyDescent="0.25">
      <c r="A67" s="100" t="s">
        <v>24</v>
      </c>
      <c r="B67" s="63"/>
      <c r="C67" s="18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90"/>
    </row>
    <row r="68" spans="1:366" ht="20.100000000000001" customHeight="1" x14ac:dyDescent="0.25">
      <c r="A68" s="100" t="s">
        <v>25</v>
      </c>
      <c r="B68" s="63"/>
      <c r="C68" s="188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90"/>
    </row>
    <row r="69" spans="1:366" ht="20.100000000000001" customHeight="1" x14ac:dyDescent="0.25">
      <c r="A69" s="100" t="s">
        <v>24</v>
      </c>
      <c r="B69" s="63"/>
      <c r="C69" s="18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90"/>
    </row>
    <row r="70" spans="1:366" ht="20.100000000000001" customHeight="1" x14ac:dyDescent="0.3">
      <c r="A70" s="100" t="s">
        <v>25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90"/>
    </row>
    <row r="71" spans="1:366" ht="20.100000000000001" customHeight="1" x14ac:dyDescent="0.25">
      <c r="A71" s="100" t="s">
        <v>24</v>
      </c>
      <c r="B71" s="63"/>
      <c r="C71" s="18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90"/>
    </row>
    <row r="72" spans="1:366" ht="20.100000000000001" customHeight="1" x14ac:dyDescent="0.25">
      <c r="A72" s="100" t="s">
        <v>25</v>
      </c>
      <c r="B72" s="63"/>
      <c r="C72" s="188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90"/>
    </row>
    <row r="73" spans="1:366" ht="20.100000000000001" customHeight="1" x14ac:dyDescent="0.25">
      <c r="A73" s="100" t="s">
        <v>24</v>
      </c>
      <c r="B73" s="63"/>
      <c r="C73" s="18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90"/>
    </row>
    <row r="74" spans="1:366" ht="20.100000000000001" customHeight="1" x14ac:dyDescent="0.3">
      <c r="A74" s="100" t="s">
        <v>25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90"/>
    </row>
    <row r="75" spans="1:366" ht="20.100000000000001" customHeight="1" x14ac:dyDescent="0.25">
      <c r="A75" s="100" t="s">
        <v>24</v>
      </c>
      <c r="B75" s="63"/>
      <c r="C75" s="18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90"/>
    </row>
    <row r="76" spans="1:366" ht="20.100000000000001" customHeight="1" x14ac:dyDescent="0.3">
      <c r="A76" s="100" t="s">
        <v>25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90"/>
    </row>
    <row r="77" spans="1:366" ht="20.100000000000001" customHeight="1" x14ac:dyDescent="0.25">
      <c r="A77" s="100" t="s">
        <v>24</v>
      </c>
      <c r="B77" s="63"/>
      <c r="C77" s="18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90"/>
    </row>
    <row r="78" spans="1:366" ht="20.100000000000001" customHeight="1" x14ac:dyDescent="0.25">
      <c r="A78" s="100" t="s">
        <v>25</v>
      </c>
      <c r="B78" s="63"/>
      <c r="C78" s="188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90"/>
    </row>
    <row r="79" spans="1:366" ht="20.100000000000001" customHeight="1" x14ac:dyDescent="0.25">
      <c r="A79" s="100" t="s">
        <v>24</v>
      </c>
      <c r="B79" s="63"/>
      <c r="C79" s="18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90"/>
    </row>
    <row r="80" spans="1:366" ht="20.100000000000001" customHeight="1" x14ac:dyDescent="0.3">
      <c r="A80" s="100" t="s">
        <v>25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90"/>
    </row>
    <row r="81" spans="1:366" ht="20.100000000000001" customHeight="1" x14ac:dyDescent="0.25">
      <c r="A81" s="100" t="s">
        <v>24</v>
      </c>
      <c r="B81" s="63"/>
      <c r="C81" s="18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90"/>
    </row>
    <row r="82" spans="1:366" ht="20.100000000000001" customHeight="1" x14ac:dyDescent="0.3">
      <c r="A82" s="100" t="s">
        <v>25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90"/>
    </row>
    <row r="83" spans="1:366" ht="20.100000000000001" customHeight="1" x14ac:dyDescent="0.25">
      <c r="A83" s="100" t="s">
        <v>24</v>
      </c>
      <c r="B83" s="63"/>
      <c r="C83" s="18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90"/>
    </row>
    <row r="84" spans="1:366" ht="20.100000000000001" customHeight="1" x14ac:dyDescent="0.25">
      <c r="A84" s="100" t="s">
        <v>25</v>
      </c>
      <c r="B84" s="63"/>
      <c r="C84" s="188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90"/>
    </row>
    <row r="85" spans="1:366" ht="20.100000000000001" customHeight="1" x14ac:dyDescent="0.25">
      <c r="A85" s="100" t="s">
        <v>24</v>
      </c>
      <c r="B85" s="63"/>
      <c r="C85" s="18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90"/>
    </row>
    <row r="86" spans="1:366" ht="20.100000000000001" customHeight="1" x14ac:dyDescent="0.3">
      <c r="A86" s="100" t="s">
        <v>25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90"/>
    </row>
    <row r="87" spans="1:366" ht="20.100000000000001" customHeight="1" x14ac:dyDescent="0.25">
      <c r="A87" s="100" t="s">
        <v>24</v>
      </c>
      <c r="B87" s="63"/>
      <c r="C87" s="18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90"/>
    </row>
    <row r="88" spans="1:366" ht="20.100000000000001" customHeight="1" x14ac:dyDescent="0.25">
      <c r="A88" s="100" t="s">
        <v>25</v>
      </c>
      <c r="B88" s="63"/>
      <c r="C88" s="188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90"/>
    </row>
    <row r="89" spans="1:366" ht="20.100000000000001" customHeight="1" x14ac:dyDescent="0.25">
      <c r="A89" s="100" t="s">
        <v>24</v>
      </c>
      <c r="B89" s="63"/>
      <c r="C89" s="18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90"/>
    </row>
    <row r="90" spans="1:366" ht="20.100000000000001" customHeight="1" x14ac:dyDescent="0.3">
      <c r="A90" s="100" t="s">
        <v>25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90"/>
    </row>
    <row r="91" spans="1:366" ht="20.100000000000001" customHeight="1" x14ac:dyDescent="0.25">
      <c r="A91" s="100" t="s">
        <v>24</v>
      </c>
      <c r="B91" s="63"/>
      <c r="C91" s="18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90"/>
    </row>
    <row r="92" spans="1:366" ht="20.100000000000001" customHeight="1" x14ac:dyDescent="0.3">
      <c r="A92" s="100" t="s">
        <v>25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90"/>
    </row>
    <row r="93" spans="1:366" ht="20.100000000000001" customHeight="1" x14ac:dyDescent="0.25">
      <c r="A93" s="100" t="s">
        <v>24</v>
      </c>
      <c r="B93" s="63"/>
      <c r="C93" s="18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90"/>
    </row>
    <row r="94" spans="1:366" ht="20.100000000000001" customHeight="1" x14ac:dyDescent="0.25">
      <c r="A94" s="100" t="s">
        <v>25</v>
      </c>
      <c r="B94" s="63"/>
      <c r="C94" s="188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90"/>
    </row>
    <row r="95" spans="1:366" ht="20.100000000000001" customHeight="1" x14ac:dyDescent="0.25">
      <c r="B95" s="96"/>
      <c r="C95" s="196" t="s">
        <v>9</v>
      </c>
      <c r="D95" s="197"/>
      <c r="E95" s="117">
        <f>SUM(E15,E17,E19,E21,E23,E25,E27,E29,E31,E33,E35,E37,E39,E41,E43,E45,E47,E49,E51,E53,E55,E57,E59,E61,E63,E65,E67,E69,E71,E73,E75,E77,E79,E81,E83,E85,E87,E89,E91,E93)</f>
        <v>120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90"/>
    </row>
    <row r="96" spans="1:366" ht="20.100000000000001" customHeight="1" thickBot="1" x14ac:dyDescent="0.3">
      <c r="B96" s="96"/>
      <c r="C96" s="198"/>
      <c r="D96" s="199"/>
      <c r="E96" s="123" t="str">
        <f xml:space="preserve"> setValueToTime(E95)</f>
        <v>10h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90"/>
    </row>
    <row r="97" spans="2:366" ht="20.100000000000001" customHeight="1" x14ac:dyDescent="0.25">
      <c r="B97" s="96"/>
      <c r="C97" s="189" t="s">
        <v>10</v>
      </c>
      <c r="D97" s="190"/>
      <c r="E97" s="118">
        <f>SUM(E16,E18,E20,E22,E24,E26,E28,E30,E32,E34,E36,E38,E40,E42,E44,E46,E48,E50,E52,E54,E56,E58,E60,E62,E64,E66,E68,E70,E72,E74,E76,E78,E80,E82,E84,E86,E88,E90,E92,E94)</f>
        <v>112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24"/>
    </row>
    <row r="98" spans="2:366" ht="20.100000000000001" customHeight="1" thickBot="1" x14ac:dyDescent="0.3">
      <c r="B98" s="96"/>
      <c r="C98" s="191"/>
      <c r="D98" s="192"/>
      <c r="E98" s="122" t="str">
        <f xml:space="preserve"> setValueToTime(E97)</f>
        <v>9h20min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90"/>
    </row>
    <row r="99" spans="2:3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91"/>
    </row>
  </sheetData>
  <sheetProtection insertRows="0" insertHyperlinks="0" selectLockedCells="1"/>
  <mergeCells count="128"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disablePrompts="1"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6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4.140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16</v>
      </c>
      <c r="B2" s="163">
        <v>5</v>
      </c>
      <c r="C2" s="163"/>
      <c r="D2" s="82" t="s">
        <v>19</v>
      </c>
      <c r="E2" s="94">
        <v>44664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46</v>
      </c>
      <c r="C3" s="151"/>
      <c r="D3" s="80" t="s">
        <v>17</v>
      </c>
      <c r="E3" s="225" t="s">
        <v>18</v>
      </c>
      <c r="F3" s="226"/>
      <c r="G3" s="46"/>
    </row>
    <row r="4" spans="1:7" s="52" customFormat="1" x14ac:dyDescent="0.3">
      <c r="A4" s="48" t="s">
        <v>54</v>
      </c>
      <c r="B4" s="49">
        <v>24</v>
      </c>
      <c r="C4" s="152" t="str">
        <f xml:space="preserve"> IF(B4="","",setValueToTime(B4))</f>
        <v>2h</v>
      </c>
      <c r="D4" s="233" t="s">
        <v>64</v>
      </c>
      <c r="E4" s="227"/>
      <c r="F4" s="228"/>
      <c r="G4" s="51"/>
    </row>
    <row r="5" spans="1:7" s="52" customFormat="1" x14ac:dyDescent="0.3">
      <c r="A5" s="53" t="s">
        <v>72</v>
      </c>
      <c r="B5" s="54">
        <v>24</v>
      </c>
      <c r="C5" s="153" t="str">
        <f t="shared" ref="C5:C11" si="0" xml:space="preserve"> IF(B5="","",setValueToTime(B5))</f>
        <v>2h</v>
      </c>
      <c r="D5" s="241" t="s">
        <v>73</v>
      </c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11" t="s">
        <v>33</v>
      </c>
      <c r="B12" s="84">
        <f>SUM(B4:B11)</f>
        <v>48</v>
      </c>
      <c r="C12" s="111" t="str">
        <f xml:space="preserve"> setValueToTime(B12)</f>
        <v>4h</v>
      </c>
      <c r="D12" s="120"/>
      <c r="E12" s="223"/>
      <c r="F12" s="22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16</v>
      </c>
      <c r="B14" s="163">
        <v>4</v>
      </c>
      <c r="C14" s="163"/>
      <c r="D14" s="82" t="s">
        <v>19</v>
      </c>
      <c r="E14" s="94">
        <v>44634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46</v>
      </c>
      <c r="C15" s="151"/>
      <c r="D15" s="80" t="s">
        <v>17</v>
      </c>
      <c r="E15" s="225" t="s">
        <v>18</v>
      </c>
      <c r="F15" s="226"/>
      <c r="G15" s="46"/>
    </row>
    <row r="16" spans="1:7" s="52" customFormat="1" x14ac:dyDescent="0.3">
      <c r="A16" s="48" t="s">
        <v>47</v>
      </c>
      <c r="B16" s="49">
        <v>12</v>
      </c>
      <c r="C16" s="152" t="str">
        <f xml:space="preserve"> IF(B16="","",setValueToTime(B16))</f>
        <v>1h</v>
      </c>
      <c r="D16" s="50"/>
      <c r="E16" s="227"/>
      <c r="F16" s="228"/>
      <c r="G16" s="51"/>
    </row>
    <row r="17" spans="1:7" s="52" customFormat="1" x14ac:dyDescent="0.3">
      <c r="A17" s="165" t="s">
        <v>49</v>
      </c>
      <c r="B17" s="54">
        <v>6</v>
      </c>
      <c r="C17" s="153" t="str">
        <f t="shared" ref="C17:C23" si="1" xml:space="preserve"> IF(B17="","",setValueToTime(B17))</f>
        <v>0h30min</v>
      </c>
      <c r="D17" s="55"/>
      <c r="E17" s="219"/>
      <c r="F17" s="22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11" t="s">
        <v>33</v>
      </c>
      <c r="B24" s="84">
        <f>SUM(B16:B23)</f>
        <v>18</v>
      </c>
      <c r="C24" s="111" t="str">
        <f xml:space="preserve"> setValueToTime(B24)</f>
        <v>1h30min</v>
      </c>
      <c r="D24" s="120"/>
      <c r="E24" s="223"/>
      <c r="F24" s="22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16</v>
      </c>
      <c r="B26" s="163">
        <v>3</v>
      </c>
      <c r="C26" s="163"/>
      <c r="D26" s="82" t="s">
        <v>19</v>
      </c>
      <c r="E26" s="94">
        <v>44635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46</v>
      </c>
      <c r="C27" s="151"/>
      <c r="D27" s="80" t="s">
        <v>17</v>
      </c>
      <c r="E27" s="225" t="s">
        <v>18</v>
      </c>
      <c r="F27" s="226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7"/>
      <c r="F28" s="228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9"/>
      <c r="F29" s="220"/>
      <c r="G29" s="51"/>
    </row>
    <row r="30" spans="1:7" s="52" customFormat="1" x14ac:dyDescent="0.3">
      <c r="A30" s="165" t="s">
        <v>50</v>
      </c>
      <c r="B30" s="54"/>
      <c r="C30" s="153" t="str">
        <f t="shared" si="2"/>
        <v/>
      </c>
      <c r="D30" s="55"/>
      <c r="E30" s="219"/>
      <c r="F30" s="22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9"/>
      <c r="F31" s="22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9"/>
      <c r="F32" s="22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9"/>
      <c r="F33" s="22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9"/>
      <c r="F34" s="22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1"/>
      <c r="F35" s="222"/>
      <c r="G35" s="51"/>
    </row>
    <row r="36" spans="1:7" s="52" customFormat="1" ht="15" thickBot="1" x14ac:dyDescent="0.35">
      <c r="A36" s="111" t="s">
        <v>33</v>
      </c>
      <c r="B36" s="84">
        <f>SUM(B28:B35)</f>
        <v>0</v>
      </c>
      <c r="C36" s="111" t="str">
        <f xml:space="preserve"> setValueToTime(B36)</f>
        <v>0h</v>
      </c>
      <c r="D36" s="120"/>
      <c r="E36" s="223"/>
      <c r="F36" s="22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16</v>
      </c>
      <c r="B38" s="163">
        <v>2</v>
      </c>
      <c r="C38" s="163"/>
      <c r="D38" s="82" t="s">
        <v>19</v>
      </c>
      <c r="E38" s="94">
        <v>44636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46</v>
      </c>
      <c r="C39" s="151"/>
      <c r="D39" s="80" t="s">
        <v>17</v>
      </c>
      <c r="E39" s="225" t="s">
        <v>18</v>
      </c>
      <c r="F39" s="226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7"/>
      <c r="F40" s="228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9"/>
      <c r="F41" s="22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9"/>
      <c r="F42" s="22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9"/>
      <c r="F43" s="22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9"/>
      <c r="F44" s="22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9"/>
      <c r="F45" s="22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9"/>
      <c r="F46" s="22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1"/>
      <c r="F47" s="222"/>
      <c r="G47" s="51"/>
    </row>
    <row r="48" spans="1:7" s="52" customFormat="1" ht="15" thickBot="1" x14ac:dyDescent="0.35">
      <c r="A48" s="111" t="s">
        <v>33</v>
      </c>
      <c r="B48" s="84">
        <f>SUM(B40:B47)</f>
        <v>0</v>
      </c>
      <c r="C48" s="111" t="str">
        <f xml:space="preserve"> setValueToTime(B48)</f>
        <v>0h</v>
      </c>
      <c r="D48" s="120"/>
      <c r="E48" s="223"/>
      <c r="F48" s="22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16</v>
      </c>
      <c r="B50" s="163">
        <v>1</v>
      </c>
      <c r="C50" s="163"/>
      <c r="D50" s="82" t="s">
        <v>19</v>
      </c>
      <c r="E50" s="94">
        <v>44637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46</v>
      </c>
      <c r="C51" s="151"/>
      <c r="D51" s="80" t="s">
        <v>17</v>
      </c>
      <c r="E51" s="225" t="s">
        <v>18</v>
      </c>
      <c r="F51" s="226"/>
      <c r="G51" s="46"/>
    </row>
    <row r="52" spans="1:7" s="52" customFormat="1" x14ac:dyDescent="0.3">
      <c r="A52" s="48" t="s">
        <v>20</v>
      </c>
      <c r="B52" s="49">
        <v>60</v>
      </c>
      <c r="C52" s="152" t="str">
        <f xml:space="preserve"> IF(B52="","",setValueToTime(B52))</f>
        <v>5h</v>
      </c>
      <c r="D52" s="50"/>
      <c r="E52" s="227"/>
      <c r="F52" s="228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19"/>
      <c r="F53" s="220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9"/>
      <c r="F54" s="22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9"/>
      <c r="F55" s="22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9"/>
      <c r="F56" s="22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9"/>
      <c r="F57" s="22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9"/>
      <c r="F58" s="22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1"/>
      <c r="F59" s="222"/>
      <c r="G59" s="51"/>
    </row>
    <row r="60" spans="1:7" s="52" customFormat="1" ht="15" thickBot="1" x14ac:dyDescent="0.35">
      <c r="A60" s="111" t="s">
        <v>33</v>
      </c>
      <c r="B60" s="84">
        <f>SUM(B52:B59)</f>
        <v>60</v>
      </c>
      <c r="C60" s="111" t="str">
        <f xml:space="preserve"> setValueToTime(B60)</f>
        <v>5h</v>
      </c>
      <c r="D60" s="120"/>
      <c r="E60" s="223"/>
      <c r="F60" s="224"/>
      <c r="G60" s="51"/>
    </row>
    <row r="61" spans="1:7" s="59" customFormat="1" x14ac:dyDescent="0.3">
      <c r="A61" s="79"/>
      <c r="B61" s="79"/>
      <c r="C61" s="79"/>
      <c r="D61" s="79"/>
      <c r="E61" s="79"/>
      <c r="F61" s="79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4:F34"/>
    <mergeCell ref="E35:F35"/>
    <mergeCell ref="E36:F36"/>
    <mergeCell ref="E33:F33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51:F51"/>
    <mergeCell ref="E52:F52"/>
    <mergeCell ref="E53:F53"/>
    <mergeCell ref="E54:F54"/>
    <mergeCell ref="E55:F55"/>
    <mergeCell ref="E56:F56"/>
  </mergeCells>
  <phoneticPr fontId="0" type="noConversion"/>
  <conditionalFormatting sqref="B60">
    <cfRule type="cellIs" dxfId="12" priority="5" operator="greaterThan">
      <formula>60</formula>
    </cfRule>
  </conditionalFormatting>
  <conditionalFormatting sqref="B48">
    <cfRule type="cellIs" dxfId="11" priority="4" operator="greaterThan">
      <formula>60</formula>
    </cfRule>
  </conditionalFormatting>
  <conditionalFormatting sqref="B36">
    <cfRule type="cellIs" dxfId="10" priority="3" operator="greaterThan">
      <formula>60</formula>
    </cfRule>
  </conditionalFormatting>
  <conditionalFormatting sqref="B24">
    <cfRule type="cellIs" dxfId="9" priority="2" operator="greaterThan">
      <formula>60</formula>
    </cfRule>
  </conditionalFormatting>
  <conditionalFormatting sqref="B12">
    <cfRule type="cellIs" dxfId="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list" allowBlank="1" showInputMessage="1" showErrorMessage="1" sqref="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5</v>
      </c>
      <c r="C2" s="164"/>
      <c r="D2" s="157" t="s">
        <v>19</v>
      </c>
      <c r="E2" s="158" t="s">
        <v>66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46</v>
      </c>
      <c r="C3" s="160"/>
      <c r="D3" s="78" t="s">
        <v>17</v>
      </c>
      <c r="E3" s="231" t="s">
        <v>18</v>
      </c>
      <c r="F3" s="232"/>
      <c r="G3" s="46"/>
    </row>
    <row r="4" spans="1:7" s="52" customFormat="1" ht="27" x14ac:dyDescent="0.3">
      <c r="A4" s="48" t="s">
        <v>54</v>
      </c>
      <c r="B4" s="49">
        <v>23</v>
      </c>
      <c r="C4" s="152" t="str">
        <f xml:space="preserve"> IF(B4="","",setValueToTime(B4))</f>
        <v>1h55min</v>
      </c>
      <c r="D4" s="233" t="s">
        <v>68</v>
      </c>
      <c r="E4" s="227"/>
      <c r="F4" s="228"/>
      <c r="G4" s="51"/>
    </row>
    <row r="5" spans="1:7" s="52" customFormat="1" ht="27" x14ac:dyDescent="0.3">
      <c r="A5" s="53" t="s">
        <v>72</v>
      </c>
      <c r="B5" s="54">
        <v>36</v>
      </c>
      <c r="C5" s="153" t="str">
        <f t="shared" ref="C5:C11" si="0" xml:space="preserve"> IF(B5="","",setValueToTime(B5))</f>
        <v>3h</v>
      </c>
      <c r="D5" s="241" t="s">
        <v>74</v>
      </c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62" t="s">
        <v>33</v>
      </c>
      <c r="B12" s="83">
        <f>SUM(B4:B11)</f>
        <v>59</v>
      </c>
      <c r="C12" s="162" t="str">
        <f xml:space="preserve"> setValueToTime(B12)</f>
        <v>4h55min</v>
      </c>
      <c r="D12" s="121"/>
      <c r="E12" s="229"/>
      <c r="F12" s="23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4</v>
      </c>
      <c r="C14" s="164"/>
      <c r="D14" s="157" t="s">
        <v>19</v>
      </c>
      <c r="E14" s="158" t="s">
        <v>61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46</v>
      </c>
      <c r="C15" s="160"/>
      <c r="D15" s="78" t="s">
        <v>17</v>
      </c>
      <c r="E15" s="231" t="s">
        <v>18</v>
      </c>
      <c r="F15" s="232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7"/>
      <c r="F16" s="228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9"/>
      <c r="F17" s="22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62" t="s">
        <v>33</v>
      </c>
      <c r="B24" s="83">
        <f>SUM(B16:B23)</f>
        <v>0</v>
      </c>
      <c r="C24" s="162" t="str">
        <f xml:space="preserve"> setValueToTime(B24)</f>
        <v>0h</v>
      </c>
      <c r="D24" s="121"/>
      <c r="E24" s="229"/>
      <c r="F24" s="23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16</v>
      </c>
      <c r="B26" s="164">
        <v>3</v>
      </c>
      <c r="C26" s="164"/>
      <c r="D26" s="157" t="s">
        <v>19</v>
      </c>
      <c r="E26" s="158" t="s">
        <v>62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46</v>
      </c>
      <c r="C27" s="160"/>
      <c r="D27" s="78" t="s">
        <v>17</v>
      </c>
      <c r="E27" s="231" t="s">
        <v>18</v>
      </c>
      <c r="F27" s="232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7"/>
      <c r="F28" s="228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9"/>
      <c r="F29" s="22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9"/>
      <c r="F30" s="22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9"/>
      <c r="F31" s="22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9"/>
      <c r="F32" s="22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9"/>
      <c r="F33" s="22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9"/>
      <c r="F34" s="22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1"/>
      <c r="F35" s="222"/>
      <c r="G35" s="51"/>
    </row>
    <row r="36" spans="1:7" s="52" customFormat="1" ht="15" thickBot="1" x14ac:dyDescent="0.35">
      <c r="A36" s="162" t="s">
        <v>33</v>
      </c>
      <c r="B36" s="83">
        <f>SUM(B28:B35)</f>
        <v>0</v>
      </c>
      <c r="C36" s="162" t="str">
        <f xml:space="preserve"> setValueToTime(B36)</f>
        <v>0h</v>
      </c>
      <c r="D36" s="121"/>
      <c r="E36" s="229"/>
      <c r="F36" s="23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16</v>
      </c>
      <c r="B38" s="164">
        <v>2</v>
      </c>
      <c r="C38" s="164"/>
      <c r="D38" s="157" t="s">
        <v>19</v>
      </c>
      <c r="E38" s="158" t="s">
        <v>63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46</v>
      </c>
      <c r="C39" s="160"/>
      <c r="D39" s="78" t="s">
        <v>17</v>
      </c>
      <c r="E39" s="231" t="s">
        <v>18</v>
      </c>
      <c r="F39" s="232"/>
      <c r="G39" s="46"/>
    </row>
    <row r="40" spans="1:7" s="52" customFormat="1" x14ac:dyDescent="0.3">
      <c r="A40" s="48" t="s">
        <v>55</v>
      </c>
      <c r="B40" s="49">
        <v>23</v>
      </c>
      <c r="C40" s="152" t="str">
        <f xml:space="preserve"> IF(B40="","",setValueToTime(B40))</f>
        <v>1h55min</v>
      </c>
      <c r="D40" s="233" t="s">
        <v>67</v>
      </c>
      <c r="E40" s="227"/>
      <c r="F40" s="228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9"/>
      <c r="F41" s="22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9"/>
      <c r="F42" s="22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9"/>
      <c r="F43" s="22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9"/>
      <c r="F44" s="22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9"/>
      <c r="F45" s="22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9"/>
      <c r="F46" s="22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1"/>
      <c r="F47" s="222"/>
      <c r="G47" s="51"/>
    </row>
    <row r="48" spans="1:7" s="52" customFormat="1" ht="15" thickBot="1" x14ac:dyDescent="0.35">
      <c r="A48" s="162" t="s">
        <v>33</v>
      </c>
      <c r="B48" s="83">
        <f>SUM(B40:B47)</f>
        <v>23</v>
      </c>
      <c r="C48" s="162" t="str">
        <f xml:space="preserve"> setValueToTime(B48)</f>
        <v>1h55min</v>
      </c>
      <c r="D48" s="121"/>
      <c r="E48" s="229"/>
      <c r="F48" s="230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16</v>
      </c>
      <c r="B50" s="164">
        <v>1</v>
      </c>
      <c r="C50" s="164"/>
      <c r="D50" s="157" t="s">
        <v>19</v>
      </c>
      <c r="E50" s="158" t="s">
        <v>48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46</v>
      </c>
      <c r="C51" s="160"/>
      <c r="D51" s="78" t="s">
        <v>17</v>
      </c>
      <c r="E51" s="231" t="s">
        <v>18</v>
      </c>
      <c r="F51" s="232"/>
      <c r="G51" s="46"/>
    </row>
    <row r="52" spans="1:7" s="52" customFormat="1" x14ac:dyDescent="0.3">
      <c r="A52" s="48" t="s">
        <v>20</v>
      </c>
      <c r="B52" s="49">
        <v>30</v>
      </c>
      <c r="C52" s="152" t="str">
        <f xml:space="preserve"> IF(B52="","",setValueToTime(B52))</f>
        <v>2h30min</v>
      </c>
      <c r="D52" s="50"/>
      <c r="E52" s="227"/>
      <c r="F52" s="228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19"/>
      <c r="F53" s="220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9"/>
      <c r="F54" s="22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9"/>
      <c r="F55" s="22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9"/>
      <c r="F56" s="22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9"/>
      <c r="F57" s="22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9"/>
      <c r="F58" s="22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1"/>
      <c r="F59" s="222"/>
      <c r="G59" s="51"/>
    </row>
    <row r="60" spans="1:7" s="52" customFormat="1" ht="15" thickBot="1" x14ac:dyDescent="0.35">
      <c r="A60" s="162" t="s">
        <v>33</v>
      </c>
      <c r="B60" s="83">
        <f>SUM(B52:B59)</f>
        <v>30</v>
      </c>
      <c r="C60" s="162" t="str">
        <f xml:space="preserve"> setValueToTime(B60)</f>
        <v>2h30min</v>
      </c>
      <c r="D60" s="121"/>
      <c r="E60" s="229"/>
      <c r="F60" s="230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</mergeCells>
  <phoneticPr fontId="0" type="noConversion"/>
  <conditionalFormatting sqref="B60">
    <cfRule type="cellIs" dxfId="7" priority="6" operator="greaterThan">
      <formula>60</formula>
    </cfRule>
  </conditionalFormatting>
  <conditionalFormatting sqref="B48">
    <cfRule type="cellIs" dxfId="6" priority="5" operator="greaterThan">
      <formula>60</formula>
    </cfRule>
  </conditionalFormatting>
  <conditionalFormatting sqref="B36">
    <cfRule type="cellIs" dxfId="5" priority="4" operator="greaterThan">
      <formula>60</formula>
    </cfRule>
  </conditionalFormatting>
  <conditionalFormatting sqref="B24">
    <cfRule type="cellIs" dxfId="4" priority="3" operator="greaterThan">
      <formula>60</formula>
    </cfRule>
  </conditionalFormatting>
  <conditionalFormatting sqref="B12">
    <cfRule type="cellIs" dxfId="3" priority="2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200"/>
      <c r="BC10" s="200"/>
      <c r="BD10" s="200"/>
      <c r="BE10" s="200"/>
      <c r="BF10" s="200"/>
      <c r="BG10" s="200"/>
      <c r="BH10" s="200"/>
      <c r="BI10" s="90"/>
    </row>
    <row r="11" spans="1:61" ht="18" x14ac:dyDescent="0.25">
      <c r="A11" s="204"/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90"/>
    </row>
    <row r="12" spans="1:61" ht="18.75" thickBot="1" x14ac:dyDescent="0.3">
      <c r="A12" s="205"/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90"/>
    </row>
    <row r="13" spans="1:61" ht="18.75" thickBot="1" x14ac:dyDescent="0.3">
      <c r="A13" s="206" t="s">
        <v>16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07"/>
      <c r="AH13" s="207"/>
      <c r="AI13" s="207"/>
      <c r="AJ13" s="207"/>
      <c r="AK13" s="207"/>
      <c r="AL13" s="207"/>
      <c r="AM13" s="207"/>
      <c r="AN13" s="207"/>
      <c r="AO13" s="207"/>
      <c r="AP13" s="207"/>
      <c r="AQ13" s="207"/>
      <c r="AR13" s="207"/>
      <c r="AS13" s="207"/>
      <c r="AT13" s="207"/>
      <c r="AU13" s="207"/>
      <c r="AV13" s="207"/>
      <c r="AW13" s="207"/>
      <c r="AX13" s="207"/>
      <c r="AY13" s="207"/>
      <c r="AZ13" s="207"/>
      <c r="BA13" s="207"/>
      <c r="BB13" s="207"/>
      <c r="BC13" s="207"/>
      <c r="BD13" s="207"/>
      <c r="BE13" s="207"/>
      <c r="BF13" s="207"/>
      <c r="BG13" s="207"/>
      <c r="BH13" s="208"/>
      <c r="BI13" s="90"/>
    </row>
    <row r="14" spans="1:61" ht="15.75" thickBot="1" x14ac:dyDescent="0.35">
      <c r="A14" s="103"/>
      <c r="B14" s="104"/>
      <c r="C14" s="104"/>
      <c r="D14" s="104"/>
      <c r="E14" s="193" t="s">
        <v>40</v>
      </c>
      <c r="F14" s="193"/>
      <c r="G14" s="193"/>
      <c r="H14" s="193"/>
      <c r="I14" s="104"/>
      <c r="J14" s="104"/>
      <c r="K14" s="194" t="s">
        <v>28</v>
      </c>
      <c r="L14" s="194"/>
      <c r="M14" s="194"/>
      <c r="N14" s="194"/>
      <c r="O14" s="129"/>
      <c r="P14" s="129"/>
      <c r="Q14" s="193" t="s">
        <v>41</v>
      </c>
      <c r="R14" s="193"/>
      <c r="S14" s="193"/>
      <c r="T14" s="193"/>
      <c r="U14" s="104"/>
      <c r="V14" s="104"/>
      <c r="W14" s="194" t="s">
        <v>29</v>
      </c>
      <c r="X14" s="194"/>
      <c r="Y14" s="194"/>
      <c r="Z14" s="194"/>
      <c r="AA14" s="129"/>
      <c r="AB14" s="129"/>
      <c r="AC14" s="193" t="s">
        <v>42</v>
      </c>
      <c r="AD14" s="193"/>
      <c r="AE14" s="193"/>
      <c r="AF14" s="193"/>
      <c r="AG14" s="104"/>
      <c r="AH14" s="104"/>
      <c r="AI14" s="194" t="s">
        <v>30</v>
      </c>
      <c r="AJ14" s="194"/>
      <c r="AK14" s="194"/>
      <c r="AL14" s="194"/>
      <c r="AM14" s="129"/>
      <c r="AN14" s="129"/>
      <c r="AO14" s="193" t="s">
        <v>43</v>
      </c>
      <c r="AP14" s="193"/>
      <c r="AQ14" s="193"/>
      <c r="AR14" s="193"/>
      <c r="AS14" s="104"/>
      <c r="AT14" s="104"/>
      <c r="AU14" s="194" t="s">
        <v>31</v>
      </c>
      <c r="AV14" s="194"/>
      <c r="AW14" s="194"/>
      <c r="AX14" s="194"/>
      <c r="AY14" s="129"/>
      <c r="AZ14" s="129"/>
      <c r="BA14" s="193" t="s">
        <v>44</v>
      </c>
      <c r="BB14" s="193"/>
      <c r="BC14" s="193"/>
      <c r="BD14" s="19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46</v>
      </c>
      <c r="C2" s="151"/>
      <c r="D2" s="80" t="s">
        <v>17</v>
      </c>
      <c r="E2" s="225" t="s">
        <v>18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46</v>
      </c>
      <c r="C2" s="160"/>
      <c r="D2" s="78" t="s">
        <v>17</v>
      </c>
      <c r="E2" s="231" t="s">
        <v>18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62" t="s">
        <v>33</v>
      </c>
      <c r="B11" s="83">
        <f>SUM(B3:B10)</f>
        <v>0</v>
      </c>
      <c r="C11" s="162" t="str">
        <f xml:space="preserve"> setValueToTime(B11)</f>
        <v>0h</v>
      </c>
      <c r="D11" s="121"/>
      <c r="E11" s="229"/>
      <c r="F11" s="23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MS_Mappings xmlns="bf2f2df3-a963-4452-b0e7-67dabc627c35" xsi:nil="true"/>
    <IsNotebookLocked xmlns="bf2f2df3-a963-4452-b0e7-67dabc627c35" xsi:nil="true"/>
    <Is_Collaboration_Space_Locked xmlns="bf2f2df3-a963-4452-b0e7-67dabc627c35" xsi:nil="true"/>
    <CultureName xmlns="bf2f2df3-a963-4452-b0e7-67dabc627c35" xsi:nil="true"/>
    <TeamsChannelId xmlns="bf2f2df3-a963-4452-b0e7-67dabc627c35" xsi:nil="true"/>
    <Invited_Teachers xmlns="bf2f2df3-a963-4452-b0e7-67dabc627c35" xsi:nil="true"/>
    <DefaultSectionNames xmlns="bf2f2df3-a963-4452-b0e7-67dabc627c35" xsi:nil="true"/>
    <Has_Teacher_Only_SectionGroup xmlns="bf2f2df3-a963-4452-b0e7-67dabc627c35" xsi:nil="true"/>
    <Owner xmlns="bf2f2df3-a963-4452-b0e7-67dabc627c35">
      <UserInfo>
        <DisplayName/>
        <AccountId xsi:nil="true"/>
        <AccountType/>
      </UserInfo>
    </Owner>
    <AppVersion xmlns="bf2f2df3-a963-4452-b0e7-67dabc627c35" xsi:nil="true"/>
    <Templates xmlns="bf2f2df3-a963-4452-b0e7-67dabc627c35" xsi:nil="true"/>
    <NotebookType xmlns="bf2f2df3-a963-4452-b0e7-67dabc627c35" xsi:nil="true"/>
    <Distribution_Groups xmlns="bf2f2df3-a963-4452-b0e7-67dabc627c35" xsi:nil="true"/>
    <Invited_Students xmlns="bf2f2df3-a963-4452-b0e7-67dabc627c35" xsi:nil="true"/>
    <Teams_Channel_Section_Location xmlns="bf2f2df3-a963-4452-b0e7-67dabc627c35" xsi:nil="true"/>
    <Math_Settings xmlns="bf2f2df3-a963-4452-b0e7-67dabc627c35" xsi:nil="true"/>
    <Self_Registration_Enabled xmlns="bf2f2df3-a963-4452-b0e7-67dabc627c35" xsi:nil="true"/>
    <FolderType xmlns="bf2f2df3-a963-4452-b0e7-67dabc627c35" xsi:nil="true"/>
    <Teachers xmlns="bf2f2df3-a963-4452-b0e7-67dabc627c35">
      <UserInfo>
        <DisplayName/>
        <AccountId xsi:nil="true"/>
        <AccountType/>
      </UserInfo>
    </Teachers>
    <Students xmlns="bf2f2df3-a963-4452-b0e7-67dabc627c35">
      <UserInfo>
        <DisplayName/>
        <AccountId xsi:nil="true"/>
        <AccountType/>
      </UserInfo>
    </Students>
    <Student_Groups xmlns="bf2f2df3-a963-4452-b0e7-67dabc627c35">
      <UserInfo>
        <DisplayName/>
        <AccountId xsi:nil="true"/>
        <AccountType/>
      </UserInfo>
    </Student_Group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33" ma:contentTypeDescription="Crée un document." ma:contentTypeScope="" ma:versionID="c014c573de66e14f7147e4a44c4fc6de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e75ccaf8a62cd64865d246852b622afe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Teachers" minOccurs="0"/>
                <xsd:element ref="ns2:Students" minOccurs="0"/>
                <xsd:element ref="ns2:Student_Groups" minOccurs="0"/>
                <xsd:element ref="ns2:Distribution_Groups" minOccurs="0"/>
                <xsd:element ref="ns2:LMS_Mappings" minOccurs="0"/>
                <xsd:element ref="ns2:Invited_Teachers" minOccurs="0"/>
                <xsd:element ref="ns2:Invited_Students" minOccurs="0"/>
                <xsd:element ref="ns2:Self_Registration_Enabled" minOccurs="0"/>
                <xsd:element ref="ns2:Has_Teacher_Only_SectionGroup" minOccurs="0"/>
                <xsd:element ref="ns2:Is_Collaboration_Space_Locked" minOccurs="0"/>
                <xsd:element ref="ns2:IsNotebookLocked" minOccurs="0"/>
                <xsd:element ref="ns2:Teams_Channel_Section_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NotebookType" ma:index="16" nillable="true" ma:displayName="Notebook Type" ma:internalName="NotebookType">
      <xsd:simpleType>
        <xsd:restriction base="dms:Text"/>
      </xsd:simpleType>
    </xsd:element>
    <xsd:element name="FolderType" ma:index="17" nillable="true" ma:displayName="Folder Type" ma:internalName="FolderType">
      <xsd:simpleType>
        <xsd:restriction base="dms:Text"/>
      </xsd:simpleType>
    </xsd:element>
    <xsd:element name="CultureName" ma:index="18" nillable="true" ma:displayName="Culture Name" ma:internalName="CultureName">
      <xsd:simpleType>
        <xsd:restriction base="dms:Text"/>
      </xsd:simpleType>
    </xsd:element>
    <xsd:element name="AppVersion" ma:index="19" nillable="true" ma:displayName="App Version" ma:internalName="AppVersion">
      <xsd:simpleType>
        <xsd:restriction base="dms:Text"/>
      </xsd:simpleType>
    </xsd:element>
    <xsd:element name="TeamsChannelId" ma:index="20" nillable="true" ma:displayName="Teams Channel Id" ma:internalName="TeamsChannelId">
      <xsd:simpleType>
        <xsd:restriction base="dms:Text"/>
      </xsd:simpleType>
    </xsd:element>
    <xsd:element name="Owner" ma:index="21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2" nillable="true" ma:displayName="Math Settings" ma:internalName="Math_Settings">
      <xsd:simpleType>
        <xsd:restriction base="dms:Text"/>
      </xsd:simpleType>
    </xsd:element>
    <xsd:element name="DefaultSectionNames" ma:index="23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4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5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6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7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8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9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0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1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2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3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4" nillable="true" ma:displayName="Is Collaboration Space Locked" ma:internalName="Is_Collaboration_Space_Locked">
      <xsd:simpleType>
        <xsd:restriction base="dms:Boolean"/>
      </xsd:simpleType>
    </xsd:element>
    <xsd:element name="IsNotebookLocked" ma:index="35" nillable="true" ma:displayName="Is Notebook Locked" ma:internalName="IsNotebookLocked">
      <xsd:simpleType>
        <xsd:restriction base="dms:Boolean"/>
      </xsd:simpleType>
    </xsd:element>
    <xsd:element name="Teams_Channel_Section_Location" ma:index="36" nillable="true" ma:displayName="Teams Channel Section Location" ma:internalName="Teams_Channel_Section_Location">
      <xsd:simpleType>
        <xsd:restriction base="dms:Text"/>
      </xsd:simpleType>
    </xsd:element>
    <xsd:element name="MediaServiceAutoKeyPoints" ma:index="3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3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bf2f2df3-a963-4452-b0e7-67dabc627c35"/>
  </ds:schemaRefs>
</ds:datastoreItem>
</file>

<file path=customXml/itemProps2.xml><?xml version="1.0" encoding="utf-8"?>
<ds:datastoreItem xmlns:ds="http://schemas.openxmlformats.org/officeDocument/2006/customXml" ds:itemID="{F2D28913-7073-4A93-9B93-460E8F438B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Josécarlos Gasser</dc:creator>
  <cp:lastModifiedBy>Josécarlos Gasser</cp:lastModifiedBy>
  <cp:lastPrinted>2019-05-08T10:31:53Z</cp:lastPrinted>
  <dcterms:created xsi:type="dcterms:W3CDTF">1996-10-21T11:03:58Z</dcterms:created>
  <dcterms:modified xsi:type="dcterms:W3CDTF">2022-04-13T13:34:26Z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